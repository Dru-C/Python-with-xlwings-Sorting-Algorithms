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Repositories\Python-with-xlwings-Sorting-Algorithms\"/>
    </mc:Choice>
  </mc:AlternateContent>
  <xr:revisionPtr revIDLastSave="0" documentId="13_ncr:1_{2EBF962D-2A66-49E0-A102-31B225F174FB}" xr6:coauthVersionLast="45" xr6:coauthVersionMax="45" xr10:uidLastSave="{00000000-0000-0000-0000-000000000000}"/>
  <bookViews>
    <workbookView xWindow="28680" yWindow="-120" windowWidth="29040" windowHeight="15840" xr2:uid="{7CFF2F5A-1C6B-436B-BBBC-19F1F7DF5F2D}"/>
  </bookViews>
  <sheets>
    <sheet name="Heap Sort" sheetId="3" r:id="rId1"/>
  </sheets>
  <definedNames>
    <definedName name="cur_element">#REF!</definedName>
    <definedName name="cur_order">#REF!</definedName>
    <definedName name="data_set">#REF!</definedName>
    <definedName name="end">#REF!</definedName>
    <definedName name="hs_0">'Heap Sort'!$D$4</definedName>
    <definedName name="hs_1">'Heap Sort'!$E$4</definedName>
    <definedName name="hs_10">'Heap Sort'!$N$4</definedName>
    <definedName name="hs_11">'Heap Sort'!$O$4</definedName>
    <definedName name="hs_12">'Heap Sort'!$P$4</definedName>
    <definedName name="hs_13">'Heap Sort'!$Q$4</definedName>
    <definedName name="hs_14">'Heap Sort'!$R$4</definedName>
    <definedName name="hs_15">'Heap Sort'!$S$4</definedName>
    <definedName name="hs_16">'Heap Sort'!$T$4</definedName>
    <definedName name="hs_17">'Heap Sort'!$U$4</definedName>
    <definedName name="hs_18">'Heap Sort'!$V$4</definedName>
    <definedName name="hs_19">'Heap Sort'!$W$4</definedName>
    <definedName name="hs_2">'Heap Sort'!$F$4</definedName>
    <definedName name="hs_20">'Heap Sort'!$X$4</definedName>
    <definedName name="hs_21">'Heap Sort'!$Y$4</definedName>
    <definedName name="hs_22">'Heap Sort'!$Z$4</definedName>
    <definedName name="hs_23">'Heap Sort'!$AA$4</definedName>
    <definedName name="hs_24">'Heap Sort'!$AB$4</definedName>
    <definedName name="hs_25">'Heap Sort'!$AC$4</definedName>
    <definedName name="hs_26">'Heap Sort'!$AD$4</definedName>
    <definedName name="hs_27">'Heap Sort'!$AE$4</definedName>
    <definedName name="hs_28">'Heap Sort'!$AF$4</definedName>
    <definedName name="hs_29">'Heap Sort'!$AG$4</definedName>
    <definedName name="hs_3">'Heap Sort'!$G$4</definedName>
    <definedName name="hs_30">'Heap Sort'!$AH$4</definedName>
    <definedName name="hs_31">'Heap Sort'!$AI$4</definedName>
    <definedName name="hs_32">'Heap Sort'!$AJ$4</definedName>
    <definedName name="hs_33">'Heap Sort'!$AK$4</definedName>
    <definedName name="hs_34">'Heap Sort'!$AL$4</definedName>
    <definedName name="hs_35">'Heap Sort'!$AM$4</definedName>
    <definedName name="hs_36">'Heap Sort'!$AN$4</definedName>
    <definedName name="hs_37">'Heap Sort'!$AO$4</definedName>
    <definedName name="hs_38">'Heap Sort'!$AP$4</definedName>
    <definedName name="hs_39">'Heap Sort'!$AQ$4</definedName>
    <definedName name="hs_4">'Heap Sort'!$H$4</definedName>
    <definedName name="hs_40">'Heap Sort'!$AR$4</definedName>
    <definedName name="hs_41">'Heap Sort'!$AS$4</definedName>
    <definedName name="hs_42">'Heap Sort'!$AT$4</definedName>
    <definedName name="hs_43">'Heap Sort'!$AU$4</definedName>
    <definedName name="hs_44">'Heap Sort'!$AV$4</definedName>
    <definedName name="hs_45">'Heap Sort'!$AW$4</definedName>
    <definedName name="hs_46">'Heap Sort'!$AX$4</definedName>
    <definedName name="hs_47">'Heap Sort'!$AY$4</definedName>
    <definedName name="hs_48">'Heap Sort'!$AZ$4</definedName>
    <definedName name="hs_49">'Heap Sort'!$BA$4</definedName>
    <definedName name="hs_5">'Heap Sort'!$I$4</definedName>
    <definedName name="hs_50">'Heap Sort'!$BB$4</definedName>
    <definedName name="hs_51">'Heap Sort'!$BC$4</definedName>
    <definedName name="hs_52">'Heap Sort'!$BD$4</definedName>
    <definedName name="hs_53">'Heap Sort'!$BE$4</definedName>
    <definedName name="hs_54">'Heap Sort'!$BF$4</definedName>
    <definedName name="hs_55">'Heap Sort'!$BG$4</definedName>
    <definedName name="hs_56">'Heap Sort'!$BH$4</definedName>
    <definedName name="hs_57">'Heap Sort'!$BI$4</definedName>
    <definedName name="hs_58">'Heap Sort'!$BJ$4</definedName>
    <definedName name="hs_59">'Heap Sort'!$BK$4</definedName>
    <definedName name="hs_6">'Heap Sort'!$J$4</definedName>
    <definedName name="hs_60">'Heap Sort'!$BL$4</definedName>
    <definedName name="hs_61">'Heap Sort'!$BM$4</definedName>
    <definedName name="hs_62">'Heap Sort'!$BN$4</definedName>
    <definedName name="hs_63">'Heap Sort'!$BN$4</definedName>
    <definedName name="hs_7">'Heap Sort'!$K$4</definedName>
    <definedName name="hs_8">'Heap Sort'!$L$4</definedName>
    <definedName name="hs_9">'Heap Sort'!$M$4</definedName>
    <definedName name="hs_array">'Heap Sort'!$D$4:$BN$4</definedName>
    <definedName name="hs_check">'Heap Sort'!#REF!</definedName>
    <definedName name="hs_child">'Heap Sort'!$H$8</definedName>
    <definedName name="hs_root">'Heap Sort'!$H$7</definedName>
    <definedName name="hs_sorted">'Heap Sort'!$H$9</definedName>
    <definedName name="id_0">#REF!</definedName>
    <definedName name="id_1">#REF!</definedName>
    <definedName name="id_10">#REF!</definedName>
    <definedName name="id_11">#REF!</definedName>
    <definedName name="id_12">#REF!</definedName>
    <definedName name="id_13">#REF!</definedName>
    <definedName name="id_14">#REF!</definedName>
    <definedName name="id_15">#REF!</definedName>
    <definedName name="id_16">#REF!</definedName>
    <definedName name="id_17">#REF!</definedName>
    <definedName name="id_18">#REF!</definedName>
    <definedName name="id_19">#REF!</definedName>
    <definedName name="id_2">#REF!</definedName>
    <definedName name="id_20">#REF!</definedName>
    <definedName name="id_21">#REF!</definedName>
    <definedName name="id_22">#REF!</definedName>
    <definedName name="id_23">#REF!</definedName>
    <definedName name="id_24">#REF!</definedName>
    <definedName name="id_3">#REF!</definedName>
    <definedName name="id_4">#REF!</definedName>
    <definedName name="id_5">#REF!</definedName>
    <definedName name="id_6">#REF!</definedName>
    <definedName name="id_7">#REF!</definedName>
    <definedName name="id_8">#REF!</definedName>
    <definedName name="id_9">#REF!</definedName>
    <definedName name="m1_a">#REF!</definedName>
    <definedName name="m1_b">#REF!</definedName>
    <definedName name="m1_c">#REF!</definedName>
    <definedName name="m1_d">#REF!</definedName>
    <definedName name="m1_e">#REF!</definedName>
    <definedName name="m1_f">#REF!</definedName>
    <definedName name="m1_g">#REF!</definedName>
    <definedName name="m1_h">#REF!</definedName>
    <definedName name="m1_i">#REF!</definedName>
    <definedName name="m1_j">#REF!</definedName>
    <definedName name="m1_k">#REF!</definedName>
    <definedName name="m1_l">#REF!</definedName>
    <definedName name="m1_m">#REF!</definedName>
    <definedName name="m1_n">#REF!</definedName>
    <definedName name="m1_o">#REF!</definedName>
    <definedName name="m1_p">#REF!</definedName>
    <definedName name="m2_a">#REF!</definedName>
    <definedName name="m2_b">#REF!</definedName>
    <definedName name="m2_c">#REF!</definedName>
    <definedName name="m2_d">#REF!</definedName>
    <definedName name="m2_e">#REF!</definedName>
    <definedName name="m2_f">#REF!</definedName>
    <definedName name="m2_g">#REF!</definedName>
    <definedName name="m2_h">#REF!</definedName>
    <definedName name="m3_a">#REF!</definedName>
    <definedName name="m3_b">#REF!</definedName>
    <definedName name="m3_c">#REF!</definedName>
    <definedName name="m3_d">#REF!</definedName>
    <definedName name="m4_a">#REF!</definedName>
    <definedName name="m4_b">#REF!</definedName>
    <definedName name="opp_cnt">#REF!</definedName>
    <definedName name="s1_a">#REF!</definedName>
    <definedName name="s1_c">#REF!</definedName>
    <definedName name="s1_e">#REF!</definedName>
    <definedName name="s1_f">#REF!</definedName>
    <definedName name="s1_g">#REF!</definedName>
    <definedName name="s1_i">#REF!</definedName>
    <definedName name="s1_k">#REF!</definedName>
    <definedName name="s1_m">#REF!</definedName>
    <definedName name="s1_o">#REF!</definedName>
    <definedName name="s2_a">#REF!</definedName>
    <definedName name="s2_b">#REF!</definedName>
    <definedName name="s2_c">#REF!</definedName>
    <definedName name="s2_d">#REF!</definedName>
    <definedName name="s2_e">#REF!</definedName>
    <definedName name="s2_f">#REF!</definedName>
    <definedName name="s2_g">#REF!</definedName>
    <definedName name="s2_h">#REF!</definedName>
    <definedName name="s3_a">#REF!</definedName>
    <definedName name="s3_b">#REF!</definedName>
    <definedName name="s3_c">#REF!</definedName>
    <definedName name="s3_d">#REF!</definedName>
    <definedName name="s4_a">#REF!</definedName>
    <definedName name="s4_b">#REF!</definedName>
    <definedName name="sort">#REF!</definedName>
    <definedName name="split1">#REF!</definedName>
    <definedName name="split10">#REF!</definedName>
    <definedName name="split11">#REF!</definedName>
    <definedName name="split12">#REF!</definedName>
    <definedName name="split13">#REF!</definedName>
    <definedName name="split14">#REF!</definedName>
    <definedName name="split15">#REF!</definedName>
    <definedName name="split16">#REF!</definedName>
    <definedName name="split17">#REF!</definedName>
    <definedName name="split18">#REF!</definedName>
    <definedName name="split19">#REF!</definedName>
    <definedName name="split2">#REF!</definedName>
    <definedName name="split20">#REF!</definedName>
    <definedName name="split21">#REF!</definedName>
    <definedName name="split22">#REF!</definedName>
    <definedName name="split23">#REF!</definedName>
    <definedName name="split24">#REF!</definedName>
    <definedName name="split25">#REF!</definedName>
    <definedName name="split26">#REF!</definedName>
    <definedName name="split27">#REF!</definedName>
    <definedName name="split28">#REF!</definedName>
    <definedName name="split29">#REF!</definedName>
    <definedName name="split3">#REF!</definedName>
    <definedName name="split30">#REF!</definedName>
    <definedName name="split4">#REF!</definedName>
    <definedName name="split5">#REF!</definedName>
    <definedName name="split6">#REF!</definedName>
    <definedName name="split7">#REF!</definedName>
    <definedName name="split8">#REF!</definedName>
    <definedName name="split9">#REF!</definedName>
    <definedName name="start">#REF!</definedName>
    <definedName name="valu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N21" i="3" l="1"/>
  <c r="D21" i="3"/>
  <c r="BL21" i="3" l="1"/>
  <c r="BJ21" i="3"/>
  <c r="BH21" i="3"/>
  <c r="BF21" i="3"/>
  <c r="BD21" i="3"/>
  <c r="BB21" i="3"/>
  <c r="AZ21" i="3"/>
  <c r="AX21" i="3"/>
  <c r="AV21" i="3"/>
  <c r="AT21" i="3"/>
  <c r="AR21" i="3"/>
  <c r="AP21" i="3"/>
  <c r="AN21" i="3"/>
  <c r="AL21" i="3"/>
  <c r="AJ21" i="3"/>
  <c r="AH21" i="3"/>
  <c r="AF21" i="3"/>
  <c r="AD21" i="3"/>
  <c r="AB21" i="3"/>
  <c r="Z21" i="3"/>
  <c r="X21" i="3"/>
  <c r="V21" i="3"/>
  <c r="T21" i="3"/>
  <c r="R21" i="3"/>
  <c r="P21" i="3"/>
  <c r="N21" i="3"/>
  <c r="L21" i="3"/>
  <c r="J21" i="3"/>
  <c r="H21" i="3"/>
  <c r="F21" i="3"/>
  <c r="BM19" i="3"/>
  <c r="BI19" i="3"/>
  <c r="BE19" i="3"/>
  <c r="BA19" i="3"/>
  <c r="AW19" i="3"/>
  <c r="AS19" i="3"/>
  <c r="AO19" i="3"/>
  <c r="AK19" i="3"/>
  <c r="AG19" i="3"/>
  <c r="AC19" i="3"/>
  <c r="Y19" i="3"/>
  <c r="U19" i="3"/>
  <c r="Q19" i="3"/>
  <c r="M19" i="3"/>
  <c r="I19" i="3"/>
  <c r="E19" i="3"/>
  <c r="BK17" i="3"/>
  <c r="BC17" i="3"/>
  <c r="AU17" i="3"/>
  <c r="AM17" i="3"/>
  <c r="AE17" i="3"/>
  <c r="W17" i="3"/>
  <c r="O17" i="3"/>
  <c r="G17" i="3"/>
  <c r="BG15" i="3"/>
  <c r="AQ15" i="3"/>
  <c r="AA15" i="3"/>
  <c r="K15" i="3"/>
  <c r="AY13" i="3"/>
  <c r="S13" i="3"/>
  <c r="AI11" i="3"/>
</calcChain>
</file>

<file path=xl/sharedStrings.xml><?xml version="1.0" encoding="utf-8"?>
<sst xmlns="http://schemas.openxmlformats.org/spreadsheetml/2006/main" count="5" uniqueCount="5">
  <si>
    <t>Index</t>
  </si>
  <si>
    <t>Array</t>
  </si>
  <si>
    <t>Root/Parent</t>
  </si>
  <si>
    <t>Child/Swap</t>
  </si>
  <si>
    <t>Sorted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</si>
</sst>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8"/>
      <color theme="1"/>
      <name val="Calibri"/>
      <family val="2"/>
      <scheme val="minor"/>
    </font>
    <font>
      <i/>
      <sz val="8"/>
      <color theme="1" tint="0.499984740745262"/>
      <name val="Calibri"/>
      <family val="2"/>
      <scheme val="minor"/>
    </font>
  </fonts>
  <fills count="2">
    <fill>
      <patternFill patternType="none"/>
    </fill>
    <fill>
      <patternFill patternType="gray125"/>
    </fill>
  </fills>
  <borders count="2">
    <border>
      <left/>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
    <xf numFmtId="0" fontId="0" fillId="0" borderId="0" xfId="0"/>
    <xf numFmtId="0" fontId="0" fillId="0" borderId="0" xfId="0" applyAlignment="1">
      <alignment horizontal="center"/>
    </xf>
    <xf numFmtId="0" fontId="2" fillId="0" borderId="0" xfId="0" applyFont="1" applyAlignment="1">
      <alignment horizontal="center"/>
    </xf>
    <xf numFmtId="0" fontId="1" fillId="0" borderId="0" xfId="0" applyFont="1" applyAlignment="1">
      <alignment horizontal="left"/>
    </xf>
    <xf numFmtId="0" fontId="0" fillId="0" borderId="1" xfId="0" applyBorder="1" applyAlignment="1">
      <alignment horizontal="center"/>
    </xf>
    <xf numFmtId="0" fontId="1" fillId="0" borderId="1" xfId="0" applyFont="1" applyBorder="1" applyAlignment="1">
      <alignment horizontal="center" vertical="center"/>
    </xf>
    <xf numFmtId="0" fontId="3" fillId="0" borderId="0" xfId="0" applyFont="1" applyAlignment="1">
      <alignment horizontal="center"/>
    </xf>
    <xf numFmtId="0" fontId="0" fillId="0" borderId="1" xfId="0" quotePrefix="1" applyBorder="1" applyAlignment="1">
      <alignment horizontal="center"/>
    </xf>
    <xf numFmtId="0" fontId="0" fillId="0" borderId="0" xfId="0" quotePrefix="1" applyAlignment="1">
      <alignment horizontal="center"/>
    </xf>
  </cellXfs>
  <cellStyles count="1">
    <cellStyle name="Normal" xfId="0" builtinId="0"/>
  </cellStyles>
  <dxfs count="3">
    <dxf>
      <font>
        <b/>
        <i val="0"/>
        <color theme="0"/>
      </font>
      <fill>
        <patternFill>
          <bgColor rgb="FF00B050"/>
        </patternFill>
      </fill>
    </dxf>
    <dxf>
      <fill>
        <patternFill>
          <bgColor rgb="FFFFFF00"/>
        </patternFill>
      </fill>
    </dxf>
    <dxf>
      <fill>
        <patternFill>
          <bgColor them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Heap Sort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'Heap Sort'!$D$4:$BM$4</c:f>
              <c:numCache>
                <c:formatCode>General</c:formatCode>
                <c:ptCount val="6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numCache>
            </c:numRef>
          </c:val>
          <c:extLst>
            <c:ext xmlns:c16="http://schemas.microsoft.com/office/drawing/2014/chart" uri="{C3380CC4-5D6E-409C-BE32-E72D297353CC}">
              <c16:uniqueId val="{00000000-2DED-4AC4-BA9F-32875E4FFFF7}"/>
            </c:ext>
          </c:extLst>
        </c:ser>
        <c:dLbls>
          <c:showLegendKey val="0"/>
          <c:showVal val="0"/>
          <c:showCatName val="0"/>
          <c:showSerName val="0"/>
          <c:showPercent val="0"/>
          <c:showBubbleSize val="0"/>
        </c:dLbls>
        <c:gapWidth val="100"/>
        <c:overlap val="-24"/>
        <c:axId val="1191525663"/>
        <c:axId val="380532287"/>
      </c:barChart>
      <c:catAx>
        <c:axId val="1191525663"/>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Order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32287"/>
        <c:crosses val="autoZero"/>
        <c:auto val="1"/>
        <c:lblAlgn val="ctr"/>
        <c:lblOffset val="100"/>
        <c:noMultiLvlLbl val="0"/>
      </c:catAx>
      <c:valAx>
        <c:axId val="3805322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Element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15256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0</xdr:colOff>
      <xdr:row>12</xdr:row>
      <xdr:rowOff>190500</xdr:rowOff>
    </xdr:from>
    <xdr:to>
      <xdr:col>17</xdr:col>
      <xdr:colOff>228600</xdr:colOff>
      <xdr:row>14</xdr:row>
      <xdr:rowOff>104775</xdr:rowOff>
    </xdr:to>
    <xdr:cxnSp macro="">
      <xdr:nvCxnSpPr>
        <xdr:cNvPr id="2" name="Straight Arrow Connector 1">
          <a:extLst>
            <a:ext uri="{FF2B5EF4-FFF2-40B4-BE49-F238E27FC236}">
              <a16:creationId xmlns:a16="http://schemas.microsoft.com/office/drawing/2014/main" id="{00000000-0008-0000-0200-000002000000}"/>
            </a:ext>
          </a:extLst>
        </xdr:cNvPr>
        <xdr:cNvCxnSpPr/>
      </xdr:nvCxnSpPr>
      <xdr:spPr>
        <a:xfrm flipH="1">
          <a:off x="6705600" y="1905000"/>
          <a:ext cx="3886200"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xdr:colOff>
      <xdr:row>13</xdr:row>
      <xdr:rowOff>9525</xdr:rowOff>
    </xdr:from>
    <xdr:to>
      <xdr:col>26</xdr:col>
      <xdr:colOff>0</xdr:colOff>
      <xdr:row>14</xdr:row>
      <xdr:rowOff>114300</xdr:rowOff>
    </xdr:to>
    <xdr:cxnSp macro="">
      <xdr:nvCxnSpPr>
        <xdr:cNvPr id="3" name="Straight Arrow Connector 2">
          <a:extLst>
            <a:ext uri="{FF2B5EF4-FFF2-40B4-BE49-F238E27FC236}">
              <a16:creationId xmlns:a16="http://schemas.microsoft.com/office/drawing/2014/main" id="{00000000-0008-0000-0200-000003000000}"/>
            </a:ext>
          </a:extLst>
        </xdr:cNvPr>
        <xdr:cNvCxnSpPr/>
      </xdr:nvCxnSpPr>
      <xdr:spPr>
        <a:xfrm>
          <a:off x="11591925" y="1914525"/>
          <a:ext cx="425767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9525</xdr:colOff>
      <xdr:row>15</xdr:row>
      <xdr:rowOff>9525</xdr:rowOff>
    </xdr:from>
    <xdr:to>
      <xdr:col>10</xdr:col>
      <xdr:colOff>38101</xdr:colOff>
      <xdr:row>16</xdr:row>
      <xdr:rowOff>95250</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flipH="1">
          <a:off x="42767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190500</xdr:colOff>
      <xdr:row>15</xdr:row>
      <xdr:rowOff>9525</xdr:rowOff>
    </xdr:from>
    <xdr:to>
      <xdr:col>13</xdr:col>
      <xdr:colOff>238125</xdr:colOff>
      <xdr:row>16</xdr:row>
      <xdr:rowOff>95250</xdr:rowOff>
    </xdr:to>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a:off x="62865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9525</xdr:colOff>
      <xdr:row>15</xdr:row>
      <xdr:rowOff>9525</xdr:rowOff>
    </xdr:from>
    <xdr:to>
      <xdr:col>26</xdr:col>
      <xdr:colOff>38101</xdr:colOff>
      <xdr:row>16</xdr:row>
      <xdr:rowOff>95250</xdr:rowOff>
    </xdr:to>
    <xdr:cxnSp macro="">
      <xdr:nvCxnSpPr>
        <xdr:cNvPr id="6" name="Straight Arrow Connector 5">
          <a:extLst>
            <a:ext uri="{FF2B5EF4-FFF2-40B4-BE49-F238E27FC236}">
              <a16:creationId xmlns:a16="http://schemas.microsoft.com/office/drawing/2014/main" id="{00000000-0008-0000-0200-000006000000}"/>
            </a:ext>
          </a:extLst>
        </xdr:cNvPr>
        <xdr:cNvCxnSpPr/>
      </xdr:nvCxnSpPr>
      <xdr:spPr>
        <a:xfrm flipH="1">
          <a:off x="140303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190500</xdr:colOff>
      <xdr:row>15</xdr:row>
      <xdr:rowOff>9525</xdr:rowOff>
    </xdr:from>
    <xdr:to>
      <xdr:col>29</xdr:col>
      <xdr:colOff>238125</xdr:colOff>
      <xdr:row>16</xdr:row>
      <xdr:rowOff>95250</xdr:rowOff>
    </xdr:to>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160401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17</xdr:row>
      <xdr:rowOff>19050</xdr:rowOff>
    </xdr:from>
    <xdr:to>
      <xdr:col>6</xdr:col>
      <xdr:colOff>66676</xdr:colOff>
      <xdr:row>18</xdr:row>
      <xdr:rowOff>114300</xdr:rowOff>
    </xdr:to>
    <xdr:cxnSp macro="">
      <xdr:nvCxnSpPr>
        <xdr:cNvPr id="8" name="Straight Arrow Connector 7">
          <a:extLst>
            <a:ext uri="{FF2B5EF4-FFF2-40B4-BE49-F238E27FC236}">
              <a16:creationId xmlns:a16="http://schemas.microsoft.com/office/drawing/2014/main" id="{00000000-0008-0000-0200-000008000000}"/>
            </a:ext>
          </a:extLst>
        </xdr:cNvPr>
        <xdr:cNvCxnSpPr/>
      </xdr:nvCxnSpPr>
      <xdr:spPr>
        <a:xfrm flipH="1">
          <a:off x="30575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152400</xdr:colOff>
      <xdr:row>17</xdr:row>
      <xdr:rowOff>9525</xdr:rowOff>
    </xdr:from>
    <xdr:to>
      <xdr:col>7</xdr:col>
      <xdr:colOff>238125</xdr:colOff>
      <xdr:row>18</xdr:row>
      <xdr:rowOff>114300</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a:off x="38100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9525</xdr:colOff>
      <xdr:row>17</xdr:row>
      <xdr:rowOff>19050</xdr:rowOff>
    </xdr:from>
    <xdr:to>
      <xdr:col>14</xdr:col>
      <xdr:colOff>66676</xdr:colOff>
      <xdr:row>18</xdr:row>
      <xdr:rowOff>114300</xdr:rowOff>
    </xdr:to>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flipH="1">
          <a:off x="79343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152400</xdr:colOff>
      <xdr:row>17</xdr:row>
      <xdr:rowOff>9525</xdr:rowOff>
    </xdr:from>
    <xdr:to>
      <xdr:col>15</xdr:col>
      <xdr:colOff>238125</xdr:colOff>
      <xdr:row>18</xdr:row>
      <xdr:rowOff>114300</xdr:rowOff>
    </xdr:to>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a:off x="86868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9525</xdr:colOff>
      <xdr:row>17</xdr:row>
      <xdr:rowOff>9525</xdr:rowOff>
    </xdr:from>
    <xdr:to>
      <xdr:col>22</xdr:col>
      <xdr:colOff>66676</xdr:colOff>
      <xdr:row>18</xdr:row>
      <xdr:rowOff>104775</xdr:rowOff>
    </xdr:to>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flipH="1">
          <a:off x="128111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152400</xdr:colOff>
      <xdr:row>17</xdr:row>
      <xdr:rowOff>0</xdr:rowOff>
    </xdr:from>
    <xdr:to>
      <xdr:col>23</xdr:col>
      <xdr:colOff>238125</xdr:colOff>
      <xdr:row>18</xdr:row>
      <xdr:rowOff>104775</xdr:rowOff>
    </xdr:to>
    <xdr:cxnSp macro="">
      <xdr:nvCxnSpPr>
        <xdr:cNvPr id="13" name="Straight Arrow Connector 12">
          <a:extLst>
            <a:ext uri="{FF2B5EF4-FFF2-40B4-BE49-F238E27FC236}">
              <a16:creationId xmlns:a16="http://schemas.microsoft.com/office/drawing/2014/main" id="{00000000-0008-0000-0200-00000D000000}"/>
            </a:ext>
          </a:extLst>
        </xdr:cNvPr>
        <xdr:cNvCxnSpPr/>
      </xdr:nvCxnSpPr>
      <xdr:spPr>
        <a:xfrm>
          <a:off x="135636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9525</xdr:colOff>
      <xdr:row>17</xdr:row>
      <xdr:rowOff>9525</xdr:rowOff>
    </xdr:from>
    <xdr:to>
      <xdr:col>30</xdr:col>
      <xdr:colOff>66676</xdr:colOff>
      <xdr:row>18</xdr:row>
      <xdr:rowOff>104775</xdr:rowOff>
    </xdr:to>
    <xdr:cxnSp macro="">
      <xdr:nvCxnSpPr>
        <xdr:cNvPr id="14" name="Straight Arrow Connector 13">
          <a:extLst>
            <a:ext uri="{FF2B5EF4-FFF2-40B4-BE49-F238E27FC236}">
              <a16:creationId xmlns:a16="http://schemas.microsoft.com/office/drawing/2014/main" id="{00000000-0008-0000-0200-00000E000000}"/>
            </a:ext>
          </a:extLst>
        </xdr:cNvPr>
        <xdr:cNvCxnSpPr/>
      </xdr:nvCxnSpPr>
      <xdr:spPr>
        <a:xfrm flipH="1">
          <a:off x="176879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152400</xdr:colOff>
      <xdr:row>17</xdr:row>
      <xdr:rowOff>0</xdr:rowOff>
    </xdr:from>
    <xdr:to>
      <xdr:col>31</xdr:col>
      <xdr:colOff>238125</xdr:colOff>
      <xdr:row>18</xdr:row>
      <xdr:rowOff>104775</xdr:rowOff>
    </xdr:to>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184404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104775</xdr:colOff>
      <xdr:row>19</xdr:row>
      <xdr:rowOff>0</xdr:rowOff>
    </xdr:from>
    <xdr:to>
      <xdr:col>4</xdr:col>
      <xdr:colOff>2</xdr:colOff>
      <xdr:row>19</xdr:row>
      <xdr:rowOff>180975</xdr:rowOff>
    </xdr:to>
    <xdr:cxnSp macro="">
      <xdr:nvCxnSpPr>
        <xdr:cNvPr id="16" name="Straight Arrow Connector 15">
          <a:extLst>
            <a:ext uri="{FF2B5EF4-FFF2-40B4-BE49-F238E27FC236}">
              <a16:creationId xmlns:a16="http://schemas.microsoft.com/office/drawing/2014/main" id="{00000000-0008-0000-0200-000010000000}"/>
            </a:ext>
          </a:extLst>
        </xdr:cNvPr>
        <xdr:cNvCxnSpPr/>
      </xdr:nvCxnSpPr>
      <xdr:spPr>
        <a:xfrm flipH="1">
          <a:off x="1933575"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19</xdr:row>
      <xdr:rowOff>0</xdr:rowOff>
    </xdr:from>
    <xdr:to>
      <xdr:col>5</xdr:col>
      <xdr:colOff>133350</xdr:colOff>
      <xdr:row>19</xdr:row>
      <xdr:rowOff>190500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3057525"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95250</xdr:colOff>
      <xdr:row>19</xdr:row>
      <xdr:rowOff>0</xdr:rowOff>
    </xdr:from>
    <xdr:to>
      <xdr:col>7</xdr:col>
      <xdr:colOff>238127</xdr:colOff>
      <xdr:row>19</xdr:row>
      <xdr:rowOff>180975</xdr:rowOff>
    </xdr:to>
    <xdr:cxnSp macro="">
      <xdr:nvCxnSpPr>
        <xdr:cNvPr id="18" name="Straight Arrow Connector 17">
          <a:extLst>
            <a:ext uri="{FF2B5EF4-FFF2-40B4-BE49-F238E27FC236}">
              <a16:creationId xmlns:a16="http://schemas.microsoft.com/office/drawing/2014/main" id="{00000000-0008-0000-0200-000012000000}"/>
            </a:ext>
          </a:extLst>
        </xdr:cNvPr>
        <xdr:cNvCxnSpPr/>
      </xdr:nvCxnSpPr>
      <xdr:spPr>
        <a:xfrm flipH="1">
          <a:off x="43624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19</xdr:row>
      <xdr:rowOff>0</xdr:rowOff>
    </xdr:from>
    <xdr:to>
      <xdr:col>9</xdr:col>
      <xdr:colOff>123825</xdr:colOff>
      <xdr:row>19</xdr:row>
      <xdr:rowOff>190500</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4864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104775</xdr:colOff>
      <xdr:row>18</xdr:row>
      <xdr:rowOff>180975</xdr:rowOff>
    </xdr:from>
    <xdr:to>
      <xdr:col>12</xdr:col>
      <xdr:colOff>2</xdr:colOff>
      <xdr:row>19</xdr:row>
      <xdr:rowOff>161925</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flipH="1">
          <a:off x="6810375" y="3038475"/>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9525</xdr:colOff>
      <xdr:row>18</xdr:row>
      <xdr:rowOff>180975</xdr:rowOff>
    </xdr:from>
    <xdr:to>
      <xdr:col>13</xdr:col>
      <xdr:colOff>133350</xdr:colOff>
      <xdr:row>19</xdr:row>
      <xdr:rowOff>171450</xdr:rowOff>
    </xdr:to>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a:off x="7934325" y="303847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18</xdr:row>
      <xdr:rowOff>190500</xdr:rowOff>
    </xdr:from>
    <xdr:to>
      <xdr:col>16</xdr:col>
      <xdr:colOff>2</xdr:colOff>
      <xdr:row>19</xdr:row>
      <xdr:rowOff>171450</xdr:rowOff>
    </xdr:to>
    <xdr:cxnSp macro="">
      <xdr:nvCxnSpPr>
        <xdr:cNvPr id="22" name="Straight Arrow Connector 21">
          <a:extLst>
            <a:ext uri="{FF2B5EF4-FFF2-40B4-BE49-F238E27FC236}">
              <a16:creationId xmlns:a16="http://schemas.microsoft.com/office/drawing/2014/main" id="{00000000-0008-0000-0200-000016000000}"/>
            </a:ext>
          </a:extLst>
        </xdr:cNvPr>
        <xdr:cNvCxnSpPr/>
      </xdr:nvCxnSpPr>
      <xdr:spPr>
        <a:xfrm flipH="1">
          <a:off x="9248775" y="3048000"/>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9525</xdr:colOff>
      <xdr:row>18</xdr:row>
      <xdr:rowOff>190500</xdr:rowOff>
    </xdr:from>
    <xdr:to>
      <xdr:col>17</xdr:col>
      <xdr:colOff>133350</xdr:colOff>
      <xdr:row>19</xdr:row>
      <xdr:rowOff>180975</xdr:rowOff>
    </xdr:to>
    <xdr:cxnSp macro="">
      <xdr:nvCxnSpPr>
        <xdr:cNvPr id="23" name="Straight Arrow Connector 22">
          <a:extLst>
            <a:ext uri="{FF2B5EF4-FFF2-40B4-BE49-F238E27FC236}">
              <a16:creationId xmlns:a16="http://schemas.microsoft.com/office/drawing/2014/main" id="{00000000-0008-0000-0200-000017000000}"/>
            </a:ext>
          </a:extLst>
        </xdr:cNvPr>
        <xdr:cNvCxnSpPr/>
      </xdr:nvCxnSpPr>
      <xdr:spPr>
        <a:xfrm>
          <a:off x="10372725" y="3048000"/>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95250</xdr:colOff>
      <xdr:row>19</xdr:row>
      <xdr:rowOff>0</xdr:rowOff>
    </xdr:from>
    <xdr:to>
      <xdr:col>19</xdr:col>
      <xdr:colOff>238127</xdr:colOff>
      <xdr:row>19</xdr:row>
      <xdr:rowOff>180975</xdr:rowOff>
    </xdr:to>
    <xdr:cxnSp macro="">
      <xdr:nvCxnSpPr>
        <xdr:cNvPr id="24" name="Straight Arrow Connector 23">
          <a:extLst>
            <a:ext uri="{FF2B5EF4-FFF2-40B4-BE49-F238E27FC236}">
              <a16:creationId xmlns:a16="http://schemas.microsoft.com/office/drawing/2014/main" id="{00000000-0008-0000-0200-000018000000}"/>
            </a:ext>
          </a:extLst>
        </xdr:cNvPr>
        <xdr:cNvCxnSpPr/>
      </xdr:nvCxnSpPr>
      <xdr:spPr>
        <a:xfrm flipH="1">
          <a:off x="116776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0</xdr:colOff>
      <xdr:row>19</xdr:row>
      <xdr:rowOff>0</xdr:rowOff>
    </xdr:from>
    <xdr:to>
      <xdr:col>21</xdr:col>
      <xdr:colOff>123825</xdr:colOff>
      <xdr:row>19</xdr:row>
      <xdr:rowOff>190500</xdr:rowOff>
    </xdr:to>
    <xdr:cxnSp macro="">
      <xdr:nvCxnSpPr>
        <xdr:cNvPr id="25" name="Straight Arrow Connector 24">
          <a:extLst>
            <a:ext uri="{FF2B5EF4-FFF2-40B4-BE49-F238E27FC236}">
              <a16:creationId xmlns:a16="http://schemas.microsoft.com/office/drawing/2014/main" id="{00000000-0008-0000-0200-000019000000}"/>
            </a:ext>
          </a:extLst>
        </xdr:cNvPr>
        <xdr:cNvCxnSpPr/>
      </xdr:nvCxnSpPr>
      <xdr:spPr>
        <a:xfrm>
          <a:off x="128016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85725</xdr:colOff>
      <xdr:row>19</xdr:row>
      <xdr:rowOff>0</xdr:rowOff>
    </xdr:from>
    <xdr:to>
      <xdr:col>23</xdr:col>
      <xdr:colOff>228602</xdr:colOff>
      <xdr:row>19</xdr:row>
      <xdr:rowOff>180975</xdr:rowOff>
    </xdr:to>
    <xdr:cxnSp macro="">
      <xdr:nvCxnSpPr>
        <xdr:cNvPr id="26" name="Straight Arrow Connector 25">
          <a:extLst>
            <a:ext uri="{FF2B5EF4-FFF2-40B4-BE49-F238E27FC236}">
              <a16:creationId xmlns:a16="http://schemas.microsoft.com/office/drawing/2014/main" id="{00000000-0008-0000-0200-00001A000000}"/>
            </a:ext>
          </a:extLst>
        </xdr:cNvPr>
        <xdr:cNvCxnSpPr/>
      </xdr:nvCxnSpPr>
      <xdr:spPr>
        <a:xfrm flipH="1">
          <a:off x="14106525"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238125</xdr:colOff>
      <xdr:row>19</xdr:row>
      <xdr:rowOff>0</xdr:rowOff>
    </xdr:from>
    <xdr:to>
      <xdr:col>25</xdr:col>
      <xdr:colOff>114300</xdr:colOff>
      <xdr:row>19</xdr:row>
      <xdr:rowOff>190500</xdr:rowOff>
    </xdr:to>
    <xdr:cxnSp macro="">
      <xdr:nvCxnSpPr>
        <xdr:cNvPr id="27" name="Straight Arrow Connector 26">
          <a:extLst>
            <a:ext uri="{FF2B5EF4-FFF2-40B4-BE49-F238E27FC236}">
              <a16:creationId xmlns:a16="http://schemas.microsoft.com/office/drawing/2014/main" id="{00000000-0008-0000-0200-00001B000000}"/>
            </a:ext>
          </a:extLst>
        </xdr:cNvPr>
        <xdr:cNvCxnSpPr/>
      </xdr:nvCxnSpPr>
      <xdr:spPr>
        <a:xfrm>
          <a:off x="14868525" y="3048000"/>
          <a:ext cx="48577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114300</xdr:colOff>
      <xdr:row>19</xdr:row>
      <xdr:rowOff>0</xdr:rowOff>
    </xdr:from>
    <xdr:to>
      <xdr:col>28</xdr:col>
      <xdr:colOff>9527</xdr:colOff>
      <xdr:row>19</xdr:row>
      <xdr:rowOff>180975</xdr:rowOff>
    </xdr:to>
    <xdr:cxnSp macro="">
      <xdr:nvCxnSpPr>
        <xdr:cNvPr id="28" name="Straight Arrow Connector 27">
          <a:extLst>
            <a:ext uri="{FF2B5EF4-FFF2-40B4-BE49-F238E27FC236}">
              <a16:creationId xmlns:a16="http://schemas.microsoft.com/office/drawing/2014/main" id="{00000000-0008-0000-0200-00001C000000}"/>
            </a:ext>
          </a:extLst>
        </xdr:cNvPr>
        <xdr:cNvCxnSpPr/>
      </xdr:nvCxnSpPr>
      <xdr:spPr>
        <a:xfrm flipH="1">
          <a:off x="16573500"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19050</xdr:colOff>
      <xdr:row>19</xdr:row>
      <xdr:rowOff>0</xdr:rowOff>
    </xdr:from>
    <xdr:to>
      <xdr:col>29</xdr:col>
      <xdr:colOff>142875</xdr:colOff>
      <xdr:row>19</xdr:row>
      <xdr:rowOff>190500</xdr:rowOff>
    </xdr:to>
    <xdr:cxnSp macro="">
      <xdr:nvCxnSpPr>
        <xdr:cNvPr id="29" name="Straight Arrow Connector 28">
          <a:extLst>
            <a:ext uri="{FF2B5EF4-FFF2-40B4-BE49-F238E27FC236}">
              <a16:creationId xmlns:a16="http://schemas.microsoft.com/office/drawing/2014/main" id="{00000000-0008-0000-0200-00001D000000}"/>
            </a:ext>
          </a:extLst>
        </xdr:cNvPr>
        <xdr:cNvCxnSpPr/>
      </xdr:nvCxnSpPr>
      <xdr:spPr>
        <a:xfrm>
          <a:off x="1769745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95250</xdr:colOff>
      <xdr:row>19</xdr:row>
      <xdr:rowOff>9525</xdr:rowOff>
    </xdr:from>
    <xdr:to>
      <xdr:col>31</xdr:col>
      <xdr:colOff>238127</xdr:colOff>
      <xdr:row>19</xdr:row>
      <xdr:rowOff>190500</xdr:rowOff>
    </xdr:to>
    <xdr:cxnSp macro="">
      <xdr:nvCxnSpPr>
        <xdr:cNvPr id="30" name="Straight Arrow Connector 29">
          <a:extLst>
            <a:ext uri="{FF2B5EF4-FFF2-40B4-BE49-F238E27FC236}">
              <a16:creationId xmlns:a16="http://schemas.microsoft.com/office/drawing/2014/main" id="{00000000-0008-0000-0200-00001E000000}"/>
            </a:ext>
          </a:extLst>
        </xdr:cNvPr>
        <xdr:cNvCxnSpPr/>
      </xdr:nvCxnSpPr>
      <xdr:spPr>
        <a:xfrm flipH="1">
          <a:off x="18992850" y="3057525"/>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19</xdr:row>
      <xdr:rowOff>9525</xdr:rowOff>
    </xdr:from>
    <xdr:to>
      <xdr:col>33</xdr:col>
      <xdr:colOff>123825</xdr:colOff>
      <xdr:row>20</xdr:row>
      <xdr:rowOff>0</xdr:rowOff>
    </xdr:to>
    <xdr:cxnSp macro="">
      <xdr:nvCxnSpPr>
        <xdr:cNvPr id="31" name="Straight Arrow Connector 30">
          <a:extLst>
            <a:ext uri="{FF2B5EF4-FFF2-40B4-BE49-F238E27FC236}">
              <a16:creationId xmlns:a16="http://schemas.microsoft.com/office/drawing/2014/main" id="{00000000-0008-0000-0200-00001F000000}"/>
            </a:ext>
          </a:extLst>
        </xdr:cNvPr>
        <xdr:cNvCxnSpPr/>
      </xdr:nvCxnSpPr>
      <xdr:spPr>
        <a:xfrm>
          <a:off x="20116800" y="305752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0</xdr:colOff>
      <xdr:row>12</xdr:row>
      <xdr:rowOff>180975</xdr:rowOff>
    </xdr:from>
    <xdr:to>
      <xdr:col>50</xdr:col>
      <xdr:colOff>0</xdr:colOff>
      <xdr:row>14</xdr:row>
      <xdr:rowOff>104775</xdr:rowOff>
    </xdr:to>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flipH="1">
          <a:off x="26212800" y="1895475"/>
          <a:ext cx="4267200" cy="304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9525</xdr:colOff>
      <xdr:row>12</xdr:row>
      <xdr:rowOff>190500</xdr:rowOff>
    </xdr:from>
    <xdr:to>
      <xdr:col>58</xdr:col>
      <xdr:colOff>0</xdr:colOff>
      <xdr:row>14</xdr:row>
      <xdr:rowOff>114300</xdr:rowOff>
    </xdr:to>
    <xdr:cxnSp macro="">
      <xdr:nvCxnSpPr>
        <xdr:cNvPr id="33" name="Straight Arrow Connector 32">
          <a:extLst>
            <a:ext uri="{FF2B5EF4-FFF2-40B4-BE49-F238E27FC236}">
              <a16:creationId xmlns:a16="http://schemas.microsoft.com/office/drawing/2014/main" id="{00000000-0008-0000-0200-000021000000}"/>
            </a:ext>
          </a:extLst>
        </xdr:cNvPr>
        <xdr:cNvCxnSpPr/>
      </xdr:nvCxnSpPr>
      <xdr:spPr>
        <a:xfrm>
          <a:off x="31099125" y="1905000"/>
          <a:ext cx="4257675" cy="304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xdr:colOff>
      <xdr:row>15</xdr:row>
      <xdr:rowOff>9525</xdr:rowOff>
    </xdr:from>
    <xdr:to>
      <xdr:col>42</xdr:col>
      <xdr:colOff>38101</xdr:colOff>
      <xdr:row>16</xdr:row>
      <xdr:rowOff>95250</xdr:rowOff>
    </xdr:to>
    <xdr:cxnSp macro="">
      <xdr:nvCxnSpPr>
        <xdr:cNvPr id="34" name="Straight Arrow Connector 33">
          <a:extLst>
            <a:ext uri="{FF2B5EF4-FFF2-40B4-BE49-F238E27FC236}">
              <a16:creationId xmlns:a16="http://schemas.microsoft.com/office/drawing/2014/main" id="{00000000-0008-0000-0200-000022000000}"/>
            </a:ext>
          </a:extLst>
        </xdr:cNvPr>
        <xdr:cNvCxnSpPr/>
      </xdr:nvCxnSpPr>
      <xdr:spPr>
        <a:xfrm flipH="1">
          <a:off x="237839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190500</xdr:colOff>
      <xdr:row>15</xdr:row>
      <xdr:rowOff>9525</xdr:rowOff>
    </xdr:from>
    <xdr:to>
      <xdr:col>45</xdr:col>
      <xdr:colOff>238125</xdr:colOff>
      <xdr:row>16</xdr:row>
      <xdr:rowOff>95250</xdr:rowOff>
    </xdr:to>
    <xdr:cxnSp macro="">
      <xdr:nvCxnSpPr>
        <xdr:cNvPr id="35" name="Straight Arrow Connector 34">
          <a:extLst>
            <a:ext uri="{FF2B5EF4-FFF2-40B4-BE49-F238E27FC236}">
              <a16:creationId xmlns:a16="http://schemas.microsoft.com/office/drawing/2014/main" id="{00000000-0008-0000-0200-000023000000}"/>
            </a:ext>
          </a:extLst>
        </xdr:cNvPr>
        <xdr:cNvCxnSpPr/>
      </xdr:nvCxnSpPr>
      <xdr:spPr>
        <a:xfrm>
          <a:off x="257937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9525</xdr:colOff>
      <xdr:row>15</xdr:row>
      <xdr:rowOff>9525</xdr:rowOff>
    </xdr:from>
    <xdr:to>
      <xdr:col>58</xdr:col>
      <xdr:colOff>38101</xdr:colOff>
      <xdr:row>16</xdr:row>
      <xdr:rowOff>95250</xdr:rowOff>
    </xdr:to>
    <xdr:cxnSp macro="">
      <xdr:nvCxnSpPr>
        <xdr:cNvPr id="36" name="Straight Arrow Connector 35">
          <a:extLst>
            <a:ext uri="{FF2B5EF4-FFF2-40B4-BE49-F238E27FC236}">
              <a16:creationId xmlns:a16="http://schemas.microsoft.com/office/drawing/2014/main" id="{00000000-0008-0000-0200-000024000000}"/>
            </a:ext>
          </a:extLst>
        </xdr:cNvPr>
        <xdr:cNvCxnSpPr/>
      </xdr:nvCxnSpPr>
      <xdr:spPr>
        <a:xfrm flipH="1">
          <a:off x="335375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58</xdr:col>
      <xdr:colOff>190500</xdr:colOff>
      <xdr:row>15</xdr:row>
      <xdr:rowOff>9525</xdr:rowOff>
    </xdr:from>
    <xdr:to>
      <xdr:col>61</xdr:col>
      <xdr:colOff>238125</xdr:colOff>
      <xdr:row>16</xdr:row>
      <xdr:rowOff>95250</xdr:rowOff>
    </xdr:to>
    <xdr:cxnSp macro="">
      <xdr:nvCxnSpPr>
        <xdr:cNvPr id="37" name="Straight Arrow Connector 36">
          <a:extLst>
            <a:ext uri="{FF2B5EF4-FFF2-40B4-BE49-F238E27FC236}">
              <a16:creationId xmlns:a16="http://schemas.microsoft.com/office/drawing/2014/main" id="{00000000-0008-0000-0200-000025000000}"/>
            </a:ext>
          </a:extLst>
        </xdr:cNvPr>
        <xdr:cNvCxnSpPr/>
      </xdr:nvCxnSpPr>
      <xdr:spPr>
        <a:xfrm>
          <a:off x="355473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9525</xdr:colOff>
      <xdr:row>17</xdr:row>
      <xdr:rowOff>19050</xdr:rowOff>
    </xdr:from>
    <xdr:to>
      <xdr:col>38</xdr:col>
      <xdr:colOff>66676</xdr:colOff>
      <xdr:row>18</xdr:row>
      <xdr:rowOff>114300</xdr:rowOff>
    </xdr:to>
    <xdr:cxnSp macro="">
      <xdr:nvCxnSpPr>
        <xdr:cNvPr id="38" name="Straight Arrow Connector 37">
          <a:extLst>
            <a:ext uri="{FF2B5EF4-FFF2-40B4-BE49-F238E27FC236}">
              <a16:creationId xmlns:a16="http://schemas.microsoft.com/office/drawing/2014/main" id="{00000000-0008-0000-0200-000026000000}"/>
            </a:ext>
          </a:extLst>
        </xdr:cNvPr>
        <xdr:cNvCxnSpPr/>
      </xdr:nvCxnSpPr>
      <xdr:spPr>
        <a:xfrm flipH="1">
          <a:off x="225647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152400</xdr:colOff>
      <xdr:row>17</xdr:row>
      <xdr:rowOff>9525</xdr:rowOff>
    </xdr:from>
    <xdr:to>
      <xdr:col>39</xdr:col>
      <xdr:colOff>238125</xdr:colOff>
      <xdr:row>18</xdr:row>
      <xdr:rowOff>114300</xdr:rowOff>
    </xdr:to>
    <xdr:cxnSp macro="">
      <xdr:nvCxnSpPr>
        <xdr:cNvPr id="39" name="Straight Arrow Connector 38">
          <a:extLst>
            <a:ext uri="{FF2B5EF4-FFF2-40B4-BE49-F238E27FC236}">
              <a16:creationId xmlns:a16="http://schemas.microsoft.com/office/drawing/2014/main" id="{00000000-0008-0000-0200-000027000000}"/>
            </a:ext>
          </a:extLst>
        </xdr:cNvPr>
        <xdr:cNvCxnSpPr/>
      </xdr:nvCxnSpPr>
      <xdr:spPr>
        <a:xfrm>
          <a:off x="233172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9525</xdr:colOff>
      <xdr:row>17</xdr:row>
      <xdr:rowOff>19050</xdr:rowOff>
    </xdr:from>
    <xdr:to>
      <xdr:col>46</xdr:col>
      <xdr:colOff>66676</xdr:colOff>
      <xdr:row>18</xdr:row>
      <xdr:rowOff>114300</xdr:rowOff>
    </xdr:to>
    <xdr:cxnSp macro="">
      <xdr:nvCxnSpPr>
        <xdr:cNvPr id="40" name="Straight Arrow Connector 39">
          <a:extLst>
            <a:ext uri="{FF2B5EF4-FFF2-40B4-BE49-F238E27FC236}">
              <a16:creationId xmlns:a16="http://schemas.microsoft.com/office/drawing/2014/main" id="{00000000-0008-0000-0200-000028000000}"/>
            </a:ext>
          </a:extLst>
        </xdr:cNvPr>
        <xdr:cNvCxnSpPr/>
      </xdr:nvCxnSpPr>
      <xdr:spPr>
        <a:xfrm flipH="1">
          <a:off x="274415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152400</xdr:colOff>
      <xdr:row>17</xdr:row>
      <xdr:rowOff>9525</xdr:rowOff>
    </xdr:from>
    <xdr:to>
      <xdr:col>47</xdr:col>
      <xdr:colOff>238125</xdr:colOff>
      <xdr:row>18</xdr:row>
      <xdr:rowOff>114300</xdr:rowOff>
    </xdr:to>
    <xdr:cxnSp macro="">
      <xdr:nvCxnSpPr>
        <xdr:cNvPr id="41" name="Straight Arrow Connector 40">
          <a:extLst>
            <a:ext uri="{FF2B5EF4-FFF2-40B4-BE49-F238E27FC236}">
              <a16:creationId xmlns:a16="http://schemas.microsoft.com/office/drawing/2014/main" id="{00000000-0008-0000-0200-000029000000}"/>
            </a:ext>
          </a:extLst>
        </xdr:cNvPr>
        <xdr:cNvCxnSpPr/>
      </xdr:nvCxnSpPr>
      <xdr:spPr>
        <a:xfrm>
          <a:off x="281940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9525</xdr:colOff>
      <xdr:row>17</xdr:row>
      <xdr:rowOff>9525</xdr:rowOff>
    </xdr:from>
    <xdr:to>
      <xdr:col>54</xdr:col>
      <xdr:colOff>66676</xdr:colOff>
      <xdr:row>18</xdr:row>
      <xdr:rowOff>104775</xdr:rowOff>
    </xdr:to>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flipH="1">
          <a:off x="323183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152400</xdr:colOff>
      <xdr:row>17</xdr:row>
      <xdr:rowOff>0</xdr:rowOff>
    </xdr:from>
    <xdr:to>
      <xdr:col>55</xdr:col>
      <xdr:colOff>238125</xdr:colOff>
      <xdr:row>18</xdr:row>
      <xdr:rowOff>104775</xdr:rowOff>
    </xdr:to>
    <xdr:cxnSp macro="">
      <xdr:nvCxnSpPr>
        <xdr:cNvPr id="43" name="Straight Arrow Connector 42">
          <a:extLst>
            <a:ext uri="{FF2B5EF4-FFF2-40B4-BE49-F238E27FC236}">
              <a16:creationId xmlns:a16="http://schemas.microsoft.com/office/drawing/2014/main" id="{00000000-0008-0000-0200-00002B000000}"/>
            </a:ext>
          </a:extLst>
        </xdr:cNvPr>
        <xdr:cNvCxnSpPr/>
      </xdr:nvCxnSpPr>
      <xdr:spPr>
        <a:xfrm>
          <a:off x="330708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9525</xdr:colOff>
      <xdr:row>17</xdr:row>
      <xdr:rowOff>9525</xdr:rowOff>
    </xdr:from>
    <xdr:to>
      <xdr:col>62</xdr:col>
      <xdr:colOff>66676</xdr:colOff>
      <xdr:row>18</xdr:row>
      <xdr:rowOff>104775</xdr:rowOff>
    </xdr:to>
    <xdr:cxnSp macro="">
      <xdr:nvCxnSpPr>
        <xdr:cNvPr id="44" name="Straight Arrow Connector 43">
          <a:extLst>
            <a:ext uri="{FF2B5EF4-FFF2-40B4-BE49-F238E27FC236}">
              <a16:creationId xmlns:a16="http://schemas.microsoft.com/office/drawing/2014/main" id="{00000000-0008-0000-0200-00002C000000}"/>
            </a:ext>
          </a:extLst>
        </xdr:cNvPr>
        <xdr:cNvCxnSpPr/>
      </xdr:nvCxnSpPr>
      <xdr:spPr>
        <a:xfrm flipH="1">
          <a:off x="371951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152400</xdr:colOff>
      <xdr:row>17</xdr:row>
      <xdr:rowOff>0</xdr:rowOff>
    </xdr:from>
    <xdr:to>
      <xdr:col>63</xdr:col>
      <xdr:colOff>238125</xdr:colOff>
      <xdr:row>18</xdr:row>
      <xdr:rowOff>104775</xdr:rowOff>
    </xdr:to>
    <xdr:cxnSp macro="">
      <xdr:nvCxnSpPr>
        <xdr:cNvPr id="45" name="Straight Arrow Connector 44">
          <a:extLst>
            <a:ext uri="{FF2B5EF4-FFF2-40B4-BE49-F238E27FC236}">
              <a16:creationId xmlns:a16="http://schemas.microsoft.com/office/drawing/2014/main" id="{00000000-0008-0000-0200-00002D000000}"/>
            </a:ext>
          </a:extLst>
        </xdr:cNvPr>
        <xdr:cNvCxnSpPr/>
      </xdr:nvCxnSpPr>
      <xdr:spPr>
        <a:xfrm>
          <a:off x="379476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104775</xdr:colOff>
      <xdr:row>19</xdr:row>
      <xdr:rowOff>0</xdr:rowOff>
    </xdr:from>
    <xdr:to>
      <xdr:col>36</xdr:col>
      <xdr:colOff>2</xdr:colOff>
      <xdr:row>19</xdr:row>
      <xdr:rowOff>180975</xdr:rowOff>
    </xdr:to>
    <xdr:cxnSp macro="">
      <xdr:nvCxnSpPr>
        <xdr:cNvPr id="46" name="Straight Arrow Connector 45">
          <a:extLst>
            <a:ext uri="{FF2B5EF4-FFF2-40B4-BE49-F238E27FC236}">
              <a16:creationId xmlns:a16="http://schemas.microsoft.com/office/drawing/2014/main" id="{00000000-0008-0000-0200-00002E000000}"/>
            </a:ext>
          </a:extLst>
        </xdr:cNvPr>
        <xdr:cNvCxnSpPr/>
      </xdr:nvCxnSpPr>
      <xdr:spPr>
        <a:xfrm flipH="1">
          <a:off x="21440775"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9525</xdr:colOff>
      <xdr:row>19</xdr:row>
      <xdr:rowOff>0</xdr:rowOff>
    </xdr:from>
    <xdr:to>
      <xdr:col>37</xdr:col>
      <xdr:colOff>133350</xdr:colOff>
      <xdr:row>19</xdr:row>
      <xdr:rowOff>190500</xdr:rowOff>
    </xdr:to>
    <xdr:cxnSp macro="">
      <xdr:nvCxnSpPr>
        <xdr:cNvPr id="47" name="Straight Arrow Connector 46">
          <a:extLst>
            <a:ext uri="{FF2B5EF4-FFF2-40B4-BE49-F238E27FC236}">
              <a16:creationId xmlns:a16="http://schemas.microsoft.com/office/drawing/2014/main" id="{00000000-0008-0000-0200-00002F000000}"/>
            </a:ext>
          </a:extLst>
        </xdr:cNvPr>
        <xdr:cNvCxnSpPr/>
      </xdr:nvCxnSpPr>
      <xdr:spPr>
        <a:xfrm>
          <a:off x="22564725"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95250</xdr:colOff>
      <xdr:row>19</xdr:row>
      <xdr:rowOff>0</xdr:rowOff>
    </xdr:from>
    <xdr:to>
      <xdr:col>39</xdr:col>
      <xdr:colOff>238127</xdr:colOff>
      <xdr:row>19</xdr:row>
      <xdr:rowOff>180975</xdr:rowOff>
    </xdr:to>
    <xdr:cxnSp macro="">
      <xdr:nvCxnSpPr>
        <xdr:cNvPr id="48" name="Straight Arrow Connector 47">
          <a:extLst>
            <a:ext uri="{FF2B5EF4-FFF2-40B4-BE49-F238E27FC236}">
              <a16:creationId xmlns:a16="http://schemas.microsoft.com/office/drawing/2014/main" id="{00000000-0008-0000-0200-000030000000}"/>
            </a:ext>
          </a:extLst>
        </xdr:cNvPr>
        <xdr:cNvCxnSpPr/>
      </xdr:nvCxnSpPr>
      <xdr:spPr>
        <a:xfrm flipH="1">
          <a:off x="238696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19</xdr:row>
      <xdr:rowOff>0</xdr:rowOff>
    </xdr:from>
    <xdr:to>
      <xdr:col>41</xdr:col>
      <xdr:colOff>123825</xdr:colOff>
      <xdr:row>19</xdr:row>
      <xdr:rowOff>190500</xdr:rowOff>
    </xdr:to>
    <xdr:cxnSp macro="">
      <xdr:nvCxnSpPr>
        <xdr:cNvPr id="49" name="Straight Arrow Connector 48">
          <a:extLst>
            <a:ext uri="{FF2B5EF4-FFF2-40B4-BE49-F238E27FC236}">
              <a16:creationId xmlns:a16="http://schemas.microsoft.com/office/drawing/2014/main" id="{00000000-0008-0000-0200-000031000000}"/>
            </a:ext>
          </a:extLst>
        </xdr:cNvPr>
        <xdr:cNvCxnSpPr/>
      </xdr:nvCxnSpPr>
      <xdr:spPr>
        <a:xfrm>
          <a:off x="249936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104775</xdr:colOff>
      <xdr:row>18</xdr:row>
      <xdr:rowOff>180975</xdr:rowOff>
    </xdr:from>
    <xdr:to>
      <xdr:col>44</xdr:col>
      <xdr:colOff>2</xdr:colOff>
      <xdr:row>19</xdr:row>
      <xdr:rowOff>161925</xdr:rowOff>
    </xdr:to>
    <xdr:cxnSp macro="">
      <xdr:nvCxnSpPr>
        <xdr:cNvPr id="50" name="Straight Arrow Connector 49">
          <a:extLst>
            <a:ext uri="{FF2B5EF4-FFF2-40B4-BE49-F238E27FC236}">
              <a16:creationId xmlns:a16="http://schemas.microsoft.com/office/drawing/2014/main" id="{00000000-0008-0000-0200-000032000000}"/>
            </a:ext>
          </a:extLst>
        </xdr:cNvPr>
        <xdr:cNvCxnSpPr/>
      </xdr:nvCxnSpPr>
      <xdr:spPr>
        <a:xfrm flipH="1">
          <a:off x="26317575" y="3038475"/>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9525</xdr:colOff>
      <xdr:row>18</xdr:row>
      <xdr:rowOff>180975</xdr:rowOff>
    </xdr:from>
    <xdr:to>
      <xdr:col>45</xdr:col>
      <xdr:colOff>133350</xdr:colOff>
      <xdr:row>19</xdr:row>
      <xdr:rowOff>171450</xdr:rowOff>
    </xdr:to>
    <xdr:cxnSp macro="">
      <xdr:nvCxnSpPr>
        <xdr:cNvPr id="51" name="Straight Arrow Connector 50">
          <a:extLst>
            <a:ext uri="{FF2B5EF4-FFF2-40B4-BE49-F238E27FC236}">
              <a16:creationId xmlns:a16="http://schemas.microsoft.com/office/drawing/2014/main" id="{00000000-0008-0000-0200-000033000000}"/>
            </a:ext>
          </a:extLst>
        </xdr:cNvPr>
        <xdr:cNvCxnSpPr/>
      </xdr:nvCxnSpPr>
      <xdr:spPr>
        <a:xfrm>
          <a:off x="27441525" y="303847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104775</xdr:colOff>
      <xdr:row>18</xdr:row>
      <xdr:rowOff>190500</xdr:rowOff>
    </xdr:from>
    <xdr:to>
      <xdr:col>48</xdr:col>
      <xdr:colOff>2</xdr:colOff>
      <xdr:row>19</xdr:row>
      <xdr:rowOff>171450</xdr:rowOff>
    </xdr:to>
    <xdr:cxnSp macro="">
      <xdr:nvCxnSpPr>
        <xdr:cNvPr id="52" name="Straight Arrow Connector 51">
          <a:extLst>
            <a:ext uri="{FF2B5EF4-FFF2-40B4-BE49-F238E27FC236}">
              <a16:creationId xmlns:a16="http://schemas.microsoft.com/office/drawing/2014/main" id="{00000000-0008-0000-0200-000034000000}"/>
            </a:ext>
          </a:extLst>
        </xdr:cNvPr>
        <xdr:cNvCxnSpPr/>
      </xdr:nvCxnSpPr>
      <xdr:spPr>
        <a:xfrm flipH="1">
          <a:off x="28755975" y="3048000"/>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9525</xdr:colOff>
      <xdr:row>18</xdr:row>
      <xdr:rowOff>190500</xdr:rowOff>
    </xdr:from>
    <xdr:to>
      <xdr:col>49</xdr:col>
      <xdr:colOff>133350</xdr:colOff>
      <xdr:row>19</xdr:row>
      <xdr:rowOff>180975</xdr:rowOff>
    </xdr:to>
    <xdr:cxnSp macro="">
      <xdr:nvCxnSpPr>
        <xdr:cNvPr id="53" name="Straight Arrow Connector 52">
          <a:extLst>
            <a:ext uri="{FF2B5EF4-FFF2-40B4-BE49-F238E27FC236}">
              <a16:creationId xmlns:a16="http://schemas.microsoft.com/office/drawing/2014/main" id="{00000000-0008-0000-0200-000035000000}"/>
            </a:ext>
          </a:extLst>
        </xdr:cNvPr>
        <xdr:cNvCxnSpPr/>
      </xdr:nvCxnSpPr>
      <xdr:spPr>
        <a:xfrm>
          <a:off x="29879925" y="3048000"/>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95250</xdr:colOff>
      <xdr:row>19</xdr:row>
      <xdr:rowOff>0</xdr:rowOff>
    </xdr:from>
    <xdr:to>
      <xdr:col>51</xdr:col>
      <xdr:colOff>238127</xdr:colOff>
      <xdr:row>19</xdr:row>
      <xdr:rowOff>180975</xdr:rowOff>
    </xdr:to>
    <xdr:cxnSp macro="">
      <xdr:nvCxnSpPr>
        <xdr:cNvPr id="54" name="Straight Arrow Connector 53">
          <a:extLst>
            <a:ext uri="{FF2B5EF4-FFF2-40B4-BE49-F238E27FC236}">
              <a16:creationId xmlns:a16="http://schemas.microsoft.com/office/drawing/2014/main" id="{00000000-0008-0000-0200-000036000000}"/>
            </a:ext>
          </a:extLst>
        </xdr:cNvPr>
        <xdr:cNvCxnSpPr/>
      </xdr:nvCxnSpPr>
      <xdr:spPr>
        <a:xfrm flipH="1">
          <a:off x="311848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0</xdr:colOff>
      <xdr:row>19</xdr:row>
      <xdr:rowOff>0</xdr:rowOff>
    </xdr:from>
    <xdr:to>
      <xdr:col>53</xdr:col>
      <xdr:colOff>123825</xdr:colOff>
      <xdr:row>19</xdr:row>
      <xdr:rowOff>190500</xdr:rowOff>
    </xdr:to>
    <xdr:cxnSp macro="">
      <xdr:nvCxnSpPr>
        <xdr:cNvPr id="55" name="Straight Arrow Connector 54">
          <a:extLst>
            <a:ext uri="{FF2B5EF4-FFF2-40B4-BE49-F238E27FC236}">
              <a16:creationId xmlns:a16="http://schemas.microsoft.com/office/drawing/2014/main" id="{00000000-0008-0000-0200-000037000000}"/>
            </a:ext>
          </a:extLst>
        </xdr:cNvPr>
        <xdr:cNvCxnSpPr/>
      </xdr:nvCxnSpPr>
      <xdr:spPr>
        <a:xfrm>
          <a:off x="323088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85725</xdr:colOff>
      <xdr:row>19</xdr:row>
      <xdr:rowOff>0</xdr:rowOff>
    </xdr:from>
    <xdr:to>
      <xdr:col>55</xdr:col>
      <xdr:colOff>228602</xdr:colOff>
      <xdr:row>19</xdr:row>
      <xdr:rowOff>180975</xdr:rowOff>
    </xdr:to>
    <xdr:cxnSp macro="">
      <xdr:nvCxnSpPr>
        <xdr:cNvPr id="56" name="Straight Arrow Connector 55">
          <a:extLst>
            <a:ext uri="{FF2B5EF4-FFF2-40B4-BE49-F238E27FC236}">
              <a16:creationId xmlns:a16="http://schemas.microsoft.com/office/drawing/2014/main" id="{00000000-0008-0000-0200-000038000000}"/>
            </a:ext>
          </a:extLst>
        </xdr:cNvPr>
        <xdr:cNvCxnSpPr/>
      </xdr:nvCxnSpPr>
      <xdr:spPr>
        <a:xfrm flipH="1">
          <a:off x="33613725"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238125</xdr:colOff>
      <xdr:row>19</xdr:row>
      <xdr:rowOff>0</xdr:rowOff>
    </xdr:from>
    <xdr:to>
      <xdr:col>57</xdr:col>
      <xdr:colOff>114300</xdr:colOff>
      <xdr:row>19</xdr:row>
      <xdr:rowOff>190500</xdr:rowOff>
    </xdr:to>
    <xdr:cxnSp macro="">
      <xdr:nvCxnSpPr>
        <xdr:cNvPr id="57" name="Straight Arrow Connector 56">
          <a:extLst>
            <a:ext uri="{FF2B5EF4-FFF2-40B4-BE49-F238E27FC236}">
              <a16:creationId xmlns:a16="http://schemas.microsoft.com/office/drawing/2014/main" id="{00000000-0008-0000-0200-000039000000}"/>
            </a:ext>
          </a:extLst>
        </xdr:cNvPr>
        <xdr:cNvCxnSpPr/>
      </xdr:nvCxnSpPr>
      <xdr:spPr>
        <a:xfrm>
          <a:off x="34375725" y="3048000"/>
          <a:ext cx="48577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59</xdr:col>
      <xdr:colOff>114300</xdr:colOff>
      <xdr:row>19</xdr:row>
      <xdr:rowOff>0</xdr:rowOff>
    </xdr:from>
    <xdr:to>
      <xdr:col>60</xdr:col>
      <xdr:colOff>9527</xdr:colOff>
      <xdr:row>19</xdr:row>
      <xdr:rowOff>180975</xdr:rowOff>
    </xdr:to>
    <xdr:cxnSp macro="">
      <xdr:nvCxnSpPr>
        <xdr:cNvPr id="58" name="Straight Arrow Connector 57">
          <a:extLst>
            <a:ext uri="{FF2B5EF4-FFF2-40B4-BE49-F238E27FC236}">
              <a16:creationId xmlns:a16="http://schemas.microsoft.com/office/drawing/2014/main" id="{00000000-0008-0000-0200-00003A000000}"/>
            </a:ext>
          </a:extLst>
        </xdr:cNvPr>
        <xdr:cNvCxnSpPr/>
      </xdr:nvCxnSpPr>
      <xdr:spPr>
        <a:xfrm flipH="1">
          <a:off x="36080700"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19050</xdr:colOff>
      <xdr:row>19</xdr:row>
      <xdr:rowOff>0</xdr:rowOff>
    </xdr:from>
    <xdr:to>
      <xdr:col>61</xdr:col>
      <xdr:colOff>142875</xdr:colOff>
      <xdr:row>19</xdr:row>
      <xdr:rowOff>190500</xdr:rowOff>
    </xdr:to>
    <xdr:cxnSp macro="">
      <xdr:nvCxnSpPr>
        <xdr:cNvPr id="59" name="Straight Arrow Connector 58">
          <a:extLst>
            <a:ext uri="{FF2B5EF4-FFF2-40B4-BE49-F238E27FC236}">
              <a16:creationId xmlns:a16="http://schemas.microsoft.com/office/drawing/2014/main" id="{00000000-0008-0000-0200-00003B000000}"/>
            </a:ext>
          </a:extLst>
        </xdr:cNvPr>
        <xdr:cNvCxnSpPr/>
      </xdr:nvCxnSpPr>
      <xdr:spPr>
        <a:xfrm>
          <a:off x="3720465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95250</xdr:colOff>
      <xdr:row>19</xdr:row>
      <xdr:rowOff>9525</xdr:rowOff>
    </xdr:from>
    <xdr:to>
      <xdr:col>63</xdr:col>
      <xdr:colOff>238127</xdr:colOff>
      <xdr:row>19</xdr:row>
      <xdr:rowOff>190500</xdr:rowOff>
    </xdr:to>
    <xdr:cxnSp macro="">
      <xdr:nvCxnSpPr>
        <xdr:cNvPr id="60" name="Straight Arrow Connector 59">
          <a:extLst>
            <a:ext uri="{FF2B5EF4-FFF2-40B4-BE49-F238E27FC236}">
              <a16:creationId xmlns:a16="http://schemas.microsoft.com/office/drawing/2014/main" id="{00000000-0008-0000-0200-00003C000000}"/>
            </a:ext>
          </a:extLst>
        </xdr:cNvPr>
        <xdr:cNvCxnSpPr/>
      </xdr:nvCxnSpPr>
      <xdr:spPr>
        <a:xfrm flipH="1">
          <a:off x="38500050" y="3057525"/>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0</xdr:colOff>
      <xdr:row>19</xdr:row>
      <xdr:rowOff>9525</xdr:rowOff>
    </xdr:from>
    <xdr:to>
      <xdr:col>65</xdr:col>
      <xdr:colOff>123825</xdr:colOff>
      <xdr:row>20</xdr:row>
      <xdr:rowOff>0</xdr:rowOff>
    </xdr:to>
    <xdr:cxnSp macro="">
      <xdr:nvCxnSpPr>
        <xdr:cNvPr id="61" name="Straight Arrow Connector 60">
          <a:extLst>
            <a:ext uri="{FF2B5EF4-FFF2-40B4-BE49-F238E27FC236}">
              <a16:creationId xmlns:a16="http://schemas.microsoft.com/office/drawing/2014/main" id="{00000000-0008-0000-0200-00003D000000}"/>
            </a:ext>
          </a:extLst>
        </xdr:cNvPr>
        <xdr:cNvCxnSpPr/>
      </xdr:nvCxnSpPr>
      <xdr:spPr>
        <a:xfrm>
          <a:off x="39624000" y="305752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0</xdr:colOff>
      <xdr:row>10</xdr:row>
      <xdr:rowOff>66675</xdr:rowOff>
    </xdr:from>
    <xdr:to>
      <xdr:col>33</xdr:col>
      <xdr:colOff>228601</xdr:colOff>
      <xdr:row>12</xdr:row>
      <xdr:rowOff>76200</xdr:rowOff>
    </xdr:to>
    <xdr:cxnSp macro="">
      <xdr:nvCxnSpPr>
        <xdr:cNvPr id="62" name="Straight Arrow Connector 61">
          <a:extLst>
            <a:ext uri="{FF2B5EF4-FFF2-40B4-BE49-F238E27FC236}">
              <a16:creationId xmlns:a16="http://schemas.microsoft.com/office/drawing/2014/main" id="{00000000-0008-0000-0200-00003E000000}"/>
            </a:ext>
          </a:extLst>
        </xdr:cNvPr>
        <xdr:cNvCxnSpPr/>
      </xdr:nvCxnSpPr>
      <xdr:spPr>
        <a:xfrm flipH="1">
          <a:off x="11582400" y="1400175"/>
          <a:ext cx="8763001" cy="3905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9525</xdr:colOff>
      <xdr:row>10</xdr:row>
      <xdr:rowOff>66675</xdr:rowOff>
    </xdr:from>
    <xdr:to>
      <xdr:col>49</xdr:col>
      <xdr:colOff>238125</xdr:colOff>
      <xdr:row>12</xdr:row>
      <xdr:rowOff>95250</xdr:rowOff>
    </xdr:to>
    <xdr:cxnSp macro="">
      <xdr:nvCxnSpPr>
        <xdr:cNvPr id="63" name="Straight Arrow Connector 62">
          <a:extLst>
            <a:ext uri="{FF2B5EF4-FFF2-40B4-BE49-F238E27FC236}">
              <a16:creationId xmlns:a16="http://schemas.microsoft.com/office/drawing/2014/main" id="{00000000-0008-0000-0200-00003F000000}"/>
            </a:ext>
          </a:extLst>
        </xdr:cNvPr>
        <xdr:cNvCxnSpPr/>
      </xdr:nvCxnSpPr>
      <xdr:spPr>
        <a:xfrm>
          <a:off x="12189619" y="1709738"/>
          <a:ext cx="5229225" cy="43338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180975</xdr:colOff>
      <xdr:row>24</xdr:row>
      <xdr:rowOff>42862</xdr:rowOff>
    </xdr:from>
    <xdr:to>
      <xdr:col>66</xdr:col>
      <xdr:colOff>4763</xdr:colOff>
      <xdr:row>38</xdr:row>
      <xdr:rowOff>119062</xdr:rowOff>
    </xdr:to>
    <xdr:graphicFrame macro="">
      <xdr:nvGraphicFramePr>
        <xdr:cNvPr id="67" name="Chart 66">
          <a:extLst>
            <a:ext uri="{FF2B5EF4-FFF2-40B4-BE49-F238E27FC236}">
              <a16:creationId xmlns:a16="http://schemas.microsoft.com/office/drawing/2014/main" id="{00000000-0008-0000-0200-00004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114299</xdr:colOff>
      <xdr:row>0</xdr:row>
      <xdr:rowOff>104775</xdr:rowOff>
    </xdr:from>
    <xdr:to>
      <xdr:col>13</xdr:col>
      <xdr:colOff>47624</xdr:colOff>
      <xdr:row>1</xdr:row>
      <xdr:rowOff>171450</xdr:rowOff>
    </xdr:to>
    <xdr:sp macro="[0]!Build_Max_Heap" textlink="">
      <xdr:nvSpPr>
        <xdr:cNvPr id="66" name="Rectangle: Rounded Corners 65">
          <a:extLst>
            <a:ext uri="{FF2B5EF4-FFF2-40B4-BE49-F238E27FC236}">
              <a16:creationId xmlns:a16="http://schemas.microsoft.com/office/drawing/2014/main" id="{990D56E0-B649-461B-AC53-C0BF4DAD16A9}"/>
            </a:ext>
          </a:extLst>
        </xdr:cNvPr>
        <xdr:cNvSpPr/>
      </xdr:nvSpPr>
      <xdr:spPr>
        <a:xfrm>
          <a:off x="2095499" y="104775"/>
          <a:ext cx="11715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Build Max Heap</a:t>
          </a:r>
          <a:endParaRPr lang="en-US" sz="1100" b="1"/>
        </a:p>
      </xdr:txBody>
    </xdr:sp>
    <xdr:clientData/>
  </xdr:twoCellAnchor>
  <xdr:twoCellAnchor>
    <xdr:from>
      <xdr:col>13</xdr:col>
      <xdr:colOff>238125</xdr:colOff>
      <xdr:row>0</xdr:row>
      <xdr:rowOff>114300</xdr:rowOff>
    </xdr:from>
    <xdr:to>
      <xdr:col>18</xdr:col>
      <xdr:colOff>171450</xdr:colOff>
      <xdr:row>1</xdr:row>
      <xdr:rowOff>180975</xdr:rowOff>
    </xdr:to>
    <xdr:sp macro="[0]!Run_Heap_Sort" textlink="">
      <xdr:nvSpPr>
        <xdr:cNvPr id="69" name="Rectangle: Rounded Corners 68">
          <a:extLst>
            <a:ext uri="{FF2B5EF4-FFF2-40B4-BE49-F238E27FC236}">
              <a16:creationId xmlns:a16="http://schemas.microsoft.com/office/drawing/2014/main" id="{F41D6DEA-35EB-45E0-9286-D2E41299066E}"/>
            </a:ext>
          </a:extLst>
        </xdr:cNvPr>
        <xdr:cNvSpPr/>
      </xdr:nvSpPr>
      <xdr:spPr>
        <a:xfrm>
          <a:off x="3457575" y="114300"/>
          <a:ext cx="11715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Run Heap Sort</a:t>
          </a:r>
          <a:endParaRPr lang="en-US" sz="1100" b="1"/>
        </a:p>
      </xdr:txBody>
    </xdr:sp>
    <xdr:clientData/>
  </xdr:twoCellAnchor>
  <xdr:twoCellAnchor>
    <xdr:from>
      <xdr:col>3</xdr:col>
      <xdr:colOff>0</xdr:colOff>
      <xdr:row>0</xdr:row>
      <xdr:rowOff>104775</xdr:rowOff>
    </xdr:from>
    <xdr:to>
      <xdr:col>7</xdr:col>
      <xdr:colOff>180975</xdr:colOff>
      <xdr:row>1</xdr:row>
      <xdr:rowOff>171450</xdr:rowOff>
    </xdr:to>
    <xdr:sp macro="[0]!New_Data" textlink="">
      <xdr:nvSpPr>
        <xdr:cNvPr id="76" name="Rectangle: Rounded Corners 75">
          <a:extLst>
            <a:ext uri="{FF2B5EF4-FFF2-40B4-BE49-F238E27FC236}">
              <a16:creationId xmlns:a16="http://schemas.microsoft.com/office/drawing/2014/main" id="{EFC9CD2D-0814-4517-BEE6-90E918F2427E}"/>
            </a:ext>
          </a:extLst>
        </xdr:cNvPr>
        <xdr:cNvSpPr/>
      </xdr:nvSpPr>
      <xdr:spPr>
        <a:xfrm>
          <a:off x="742950" y="104775"/>
          <a:ext cx="11715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Get New Data</a:t>
          </a:r>
          <a:endParaRPr lang="en-US"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4C386-8DF5-4D1E-BE16-C911E71D19DF}">
  <sheetPr codeName="Sheet3"/>
  <dimension ref="A3:EF42"/>
  <sheetViews>
    <sheetView showGridLines="0" tabSelected="1" zoomScale="90" zoomScaleNormal="90" workbookViewId="0">
      <selection activeCell="E12" sqref="E12"/>
    </sheetView>
  </sheetViews>
  <sheetFormatPr defaultRowHeight="15" x14ac:dyDescent="0.25"/>
  <cols>
    <col min="1" max="123" width="3.7109375" style="1" customWidth="1"/>
    <col min="124" max="136" width="9.140625" style="1"/>
  </cols>
  <sheetData>
    <row r="3" spans="2:66" ht="15.75" thickBot="1" x14ac:dyDescent="0.3"/>
    <row r="4" spans="2:66" ht="15.75" thickBot="1" x14ac:dyDescent="0.3">
      <c r="B4" s="3" t="s">
        <v>1</v>
      </c>
      <c r="D4" s="4">
        <v>0</v>
      </c>
      <c r="E4" s="4">
        <v>1</v>
      </c>
      <c r="F4" s="4">
        <v>2</v>
      </c>
      <c r="G4" s="4">
        <v>3</v>
      </c>
      <c r="H4" s="4">
        <v>4</v>
      </c>
      <c r="I4" s="4">
        <v>5</v>
      </c>
      <c r="J4" s="4">
        <v>6</v>
      </c>
      <c r="K4" s="4">
        <v>7</v>
      </c>
      <c r="L4" s="4">
        <v>8</v>
      </c>
      <c r="M4" s="4">
        <v>9</v>
      </c>
      <c r="N4" s="4">
        <v>10</v>
      </c>
      <c r="O4" s="4">
        <v>11</v>
      </c>
      <c r="P4" s="4">
        <v>12</v>
      </c>
      <c r="Q4" s="4">
        <v>13</v>
      </c>
      <c r="R4" s="4">
        <v>14</v>
      </c>
      <c r="S4" s="4">
        <v>15</v>
      </c>
      <c r="T4" s="4">
        <v>16</v>
      </c>
      <c r="U4" s="4">
        <v>17</v>
      </c>
      <c r="V4" s="4">
        <v>18</v>
      </c>
      <c r="W4" s="4">
        <v>19</v>
      </c>
      <c r="X4" s="4">
        <v>20</v>
      </c>
      <c r="Y4" s="4">
        <v>21</v>
      </c>
      <c r="Z4" s="4">
        <v>22</v>
      </c>
      <c r="AA4" s="4">
        <v>23</v>
      </c>
      <c r="AB4" s="4">
        <v>24</v>
      </c>
      <c r="AC4" s="4">
        <v>25</v>
      </c>
      <c r="AD4" s="4">
        <v>26</v>
      </c>
      <c r="AE4" s="4">
        <v>27</v>
      </c>
      <c r="AF4" s="4">
        <v>28</v>
      </c>
      <c r="AG4" s="4">
        <v>29</v>
      </c>
      <c r="AH4" s="4">
        <v>30</v>
      </c>
      <c r="AI4" s="4">
        <v>31</v>
      </c>
      <c r="AJ4" s="4">
        <v>32</v>
      </c>
      <c r="AK4" s="4">
        <v>33</v>
      </c>
      <c r="AL4" s="4">
        <v>34</v>
      </c>
      <c r="AM4" s="4">
        <v>35</v>
      </c>
      <c r="AN4" s="4">
        <v>36</v>
      </c>
      <c r="AO4" s="4">
        <v>37</v>
      </c>
      <c r="AP4" s="4">
        <v>38</v>
      </c>
      <c r="AQ4" s="4">
        <v>39</v>
      </c>
      <c r="AR4" s="4">
        <v>40</v>
      </c>
      <c r="AS4" s="4">
        <v>41</v>
      </c>
      <c r="AT4" s="4">
        <v>42</v>
      </c>
      <c r="AU4" s="4">
        <v>43</v>
      </c>
      <c r="AV4" s="4">
        <v>44</v>
      </c>
      <c r="AW4" s="4">
        <v>45</v>
      </c>
      <c r="AX4" s="4">
        <v>46</v>
      </c>
      <c r="AY4" s="4">
        <v>47</v>
      </c>
      <c r="AZ4" s="4">
        <v>48</v>
      </c>
      <c r="BA4" s="4">
        <v>49</v>
      </c>
      <c r="BB4" s="4">
        <v>50</v>
      </c>
      <c r="BC4" s="4">
        <v>51</v>
      </c>
      <c r="BD4" s="4">
        <v>52</v>
      </c>
      <c r="BE4" s="4">
        <v>53</v>
      </c>
      <c r="BF4" s="4">
        <v>54</v>
      </c>
      <c r="BG4" s="4">
        <v>55</v>
      </c>
      <c r="BH4" s="4">
        <v>56</v>
      </c>
      <c r="BI4" s="4">
        <v>57</v>
      </c>
      <c r="BJ4" s="4">
        <v>58</v>
      </c>
      <c r="BK4" s="4">
        <v>59</v>
      </c>
      <c r="BL4" s="4">
        <v>60</v>
      </c>
      <c r="BM4" s="4">
        <v>61</v>
      </c>
      <c r="BN4" s="7">
        <v>62</v>
      </c>
    </row>
    <row r="5" spans="2:66" x14ac:dyDescent="0.25">
      <c r="B5" s="3" t="s">
        <v>0</v>
      </c>
      <c r="D5" s="2">
        <v>0</v>
      </c>
      <c r="E5" s="2">
        <v>1</v>
      </c>
      <c r="F5" s="2">
        <v>2</v>
      </c>
      <c r="G5" s="2">
        <v>3</v>
      </c>
      <c r="H5" s="2">
        <v>4</v>
      </c>
      <c r="I5" s="2">
        <v>5</v>
      </c>
      <c r="J5" s="2">
        <v>6</v>
      </c>
      <c r="K5" s="2">
        <v>7</v>
      </c>
      <c r="L5" s="2">
        <v>8</v>
      </c>
      <c r="M5" s="2">
        <v>9</v>
      </c>
      <c r="N5" s="2">
        <v>10</v>
      </c>
      <c r="O5" s="2">
        <v>11</v>
      </c>
      <c r="P5" s="2">
        <v>12</v>
      </c>
      <c r="Q5" s="2">
        <v>13</v>
      </c>
      <c r="R5" s="2">
        <v>14</v>
      </c>
      <c r="S5" s="2">
        <v>15</v>
      </c>
      <c r="T5" s="2">
        <v>16</v>
      </c>
      <c r="U5" s="2">
        <v>17</v>
      </c>
      <c r="V5" s="2">
        <v>18</v>
      </c>
      <c r="W5" s="2">
        <v>19</v>
      </c>
      <c r="X5" s="2">
        <v>20</v>
      </c>
      <c r="Y5" s="2">
        <v>21</v>
      </c>
      <c r="Z5" s="2">
        <v>22</v>
      </c>
      <c r="AA5" s="2">
        <v>23</v>
      </c>
      <c r="AB5" s="2">
        <v>24</v>
      </c>
      <c r="AC5" s="2">
        <v>25</v>
      </c>
      <c r="AD5" s="2">
        <v>26</v>
      </c>
      <c r="AE5" s="2">
        <v>27</v>
      </c>
      <c r="AF5" s="2">
        <v>28</v>
      </c>
      <c r="AG5" s="2">
        <v>29</v>
      </c>
      <c r="AH5" s="2">
        <v>30</v>
      </c>
      <c r="AI5" s="2">
        <v>31</v>
      </c>
      <c r="AJ5" s="2">
        <v>32</v>
      </c>
      <c r="AK5" s="2">
        <v>33</v>
      </c>
      <c r="AL5" s="2">
        <v>34</v>
      </c>
      <c r="AM5" s="2">
        <v>35</v>
      </c>
      <c r="AN5" s="2">
        <v>36</v>
      </c>
      <c r="AO5" s="2">
        <v>37</v>
      </c>
      <c r="AP5" s="2">
        <v>38</v>
      </c>
      <c r="AQ5" s="2">
        <v>39</v>
      </c>
      <c r="AR5" s="2">
        <v>40</v>
      </c>
      <c r="AS5" s="2">
        <v>41</v>
      </c>
      <c r="AT5" s="2">
        <v>42</v>
      </c>
      <c r="AU5" s="2">
        <v>43</v>
      </c>
      <c r="AV5" s="2">
        <v>44</v>
      </c>
      <c r="AW5" s="2">
        <v>45</v>
      </c>
      <c r="AX5" s="2">
        <v>46</v>
      </c>
      <c r="AY5" s="2">
        <v>47</v>
      </c>
      <c r="AZ5" s="2">
        <v>48</v>
      </c>
      <c r="BA5" s="2">
        <v>49</v>
      </c>
      <c r="BB5" s="2">
        <v>50</v>
      </c>
      <c r="BC5" s="2">
        <v>51</v>
      </c>
      <c r="BD5" s="2">
        <v>52</v>
      </c>
      <c r="BE5" s="2">
        <v>53</v>
      </c>
      <c r="BF5" s="2">
        <v>54</v>
      </c>
      <c r="BG5" s="2">
        <v>55</v>
      </c>
      <c r="BH5" s="2">
        <v>56</v>
      </c>
      <c r="BI5" s="2">
        <v>57</v>
      </c>
      <c r="BJ5" s="2">
        <v>58</v>
      </c>
      <c r="BK5" s="2">
        <v>59</v>
      </c>
      <c r="BL5" s="2">
        <v>60</v>
      </c>
      <c r="BM5" s="2">
        <v>61</v>
      </c>
      <c r="BN5" s="2">
        <v>62</v>
      </c>
    </row>
    <row r="6" spans="2:66" x14ac:dyDescent="0.25">
      <c r="B6" s="3"/>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row>
    <row r="7" spans="2:66" x14ac:dyDescent="0.25">
      <c r="B7" s="3" t="s">
        <v>2</v>
      </c>
      <c r="H7" s="1">
        <v>0</v>
      </c>
    </row>
    <row r="8" spans="2:66" x14ac:dyDescent="0.25">
      <c r="B8" s="3" t="s">
        <v>3</v>
      </c>
      <c r="H8" s="1">
        <v>1</v>
      </c>
    </row>
    <row r="9" spans="2:66" x14ac:dyDescent="0.25">
      <c r="B9" s="3" t="s">
        <v>4</v>
      </c>
      <c r="H9" s="1">
        <v>0</v>
      </c>
    </row>
    <row r="10" spans="2:66" ht="15.75" thickBot="1" x14ac:dyDescent="0.3">
      <c r="B10" s="3"/>
      <c r="AI10" s="6">
        <v>0</v>
      </c>
    </row>
    <row r="11" spans="2:66" ht="15.75" thickBot="1" x14ac:dyDescent="0.3">
      <c r="AI11" s="5">
        <f>hs_0</f>
        <v>0</v>
      </c>
    </row>
    <row r="12" spans="2:66" ht="15.75" thickBot="1" x14ac:dyDescent="0.3">
      <c r="S12" s="6">
        <v>1</v>
      </c>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6">
        <v>2</v>
      </c>
    </row>
    <row r="13" spans="2:66" ht="15.75" thickBot="1" x14ac:dyDescent="0.3">
      <c r="S13" s="5">
        <f>hs_1</f>
        <v>1</v>
      </c>
      <c r="AY13" s="5">
        <f>hs_2</f>
        <v>2</v>
      </c>
    </row>
    <row r="14" spans="2:66" ht="15.75" thickBot="1" x14ac:dyDescent="0.3">
      <c r="K14" s="6">
        <v>3</v>
      </c>
      <c r="L14" s="2"/>
      <c r="M14" s="2"/>
      <c r="N14" s="2"/>
      <c r="O14" s="2"/>
      <c r="P14" s="2"/>
      <c r="Q14" s="2"/>
      <c r="R14" s="2"/>
      <c r="S14" s="2"/>
      <c r="T14" s="2"/>
      <c r="U14" s="2"/>
      <c r="V14" s="2"/>
      <c r="W14" s="2"/>
      <c r="X14" s="2"/>
      <c r="Y14" s="2"/>
      <c r="Z14" s="2"/>
      <c r="AA14" s="6">
        <v>4</v>
      </c>
      <c r="AB14" s="2"/>
      <c r="AC14" s="2"/>
      <c r="AD14" s="2"/>
      <c r="AE14" s="2"/>
      <c r="AF14" s="2"/>
      <c r="AG14" s="2"/>
      <c r="AH14" s="2"/>
      <c r="AI14" s="2"/>
      <c r="AJ14" s="2"/>
      <c r="AK14" s="2"/>
      <c r="AL14" s="2"/>
      <c r="AM14" s="2"/>
      <c r="AN14" s="2"/>
      <c r="AO14" s="2"/>
      <c r="AP14" s="2"/>
      <c r="AQ14" s="6">
        <v>5</v>
      </c>
      <c r="AR14" s="2"/>
      <c r="AS14" s="2"/>
      <c r="AT14" s="2"/>
      <c r="AU14" s="2"/>
      <c r="AV14" s="2"/>
      <c r="AW14" s="2"/>
      <c r="AX14" s="2"/>
      <c r="AY14" s="2"/>
      <c r="AZ14" s="2"/>
      <c r="BA14" s="2"/>
      <c r="BB14" s="2"/>
      <c r="BC14" s="2"/>
      <c r="BD14" s="2"/>
      <c r="BE14" s="2"/>
      <c r="BF14" s="2"/>
      <c r="BG14" s="6">
        <v>6</v>
      </c>
    </row>
    <row r="15" spans="2:66" ht="15.75" thickBot="1" x14ac:dyDescent="0.3">
      <c r="K15" s="5">
        <f>hs_3</f>
        <v>3</v>
      </c>
      <c r="AA15" s="5">
        <f>hs_4</f>
        <v>4</v>
      </c>
      <c r="AQ15" s="5">
        <f>hs_5</f>
        <v>5</v>
      </c>
      <c r="BG15" s="5">
        <f>hs_6</f>
        <v>6</v>
      </c>
    </row>
    <row r="16" spans="2:66" ht="15.75" thickBot="1" x14ac:dyDescent="0.3">
      <c r="G16" s="6">
        <v>7</v>
      </c>
      <c r="H16" s="2"/>
      <c r="I16" s="2"/>
      <c r="J16" s="2"/>
      <c r="K16" s="2"/>
      <c r="L16" s="2"/>
      <c r="M16" s="2"/>
      <c r="N16" s="2"/>
      <c r="O16" s="6">
        <v>8</v>
      </c>
      <c r="P16" s="2"/>
      <c r="Q16" s="2"/>
      <c r="R16" s="2"/>
      <c r="S16" s="2"/>
      <c r="T16" s="2"/>
      <c r="U16" s="2"/>
      <c r="V16" s="2"/>
      <c r="W16" s="6">
        <v>9</v>
      </c>
      <c r="X16" s="2"/>
      <c r="Y16" s="2"/>
      <c r="Z16" s="2"/>
      <c r="AA16" s="2"/>
      <c r="AB16" s="2"/>
      <c r="AC16" s="2"/>
      <c r="AD16" s="2"/>
      <c r="AE16" s="6">
        <v>10</v>
      </c>
      <c r="AF16" s="2"/>
      <c r="AG16" s="2"/>
      <c r="AH16" s="2"/>
      <c r="AI16" s="2"/>
      <c r="AJ16" s="2"/>
      <c r="AK16" s="2"/>
      <c r="AL16" s="2"/>
      <c r="AM16" s="6">
        <v>11</v>
      </c>
      <c r="AN16" s="2"/>
      <c r="AO16" s="2"/>
      <c r="AP16" s="2"/>
      <c r="AQ16" s="2"/>
      <c r="AR16" s="2"/>
      <c r="AS16" s="2"/>
      <c r="AT16" s="2"/>
      <c r="AU16" s="6">
        <v>12</v>
      </c>
      <c r="AV16" s="2"/>
      <c r="AW16" s="2"/>
      <c r="AX16" s="2"/>
      <c r="AY16" s="2"/>
      <c r="AZ16" s="2"/>
      <c r="BA16" s="2"/>
      <c r="BB16" s="2"/>
      <c r="BC16" s="6">
        <v>13</v>
      </c>
      <c r="BD16" s="2"/>
      <c r="BE16" s="2"/>
      <c r="BF16" s="2"/>
      <c r="BG16" s="2"/>
      <c r="BH16" s="2"/>
      <c r="BI16" s="2"/>
      <c r="BJ16" s="2"/>
      <c r="BK16" s="6">
        <v>14</v>
      </c>
    </row>
    <row r="17" spans="4:66" ht="15.75" thickBot="1" x14ac:dyDescent="0.3">
      <c r="G17" s="5">
        <f>hs_7</f>
        <v>7</v>
      </c>
      <c r="O17" s="5">
        <f>hs_8</f>
        <v>8</v>
      </c>
      <c r="W17" s="5">
        <f>hs_9</f>
        <v>9</v>
      </c>
      <c r="AE17" s="5">
        <f>hs_10</f>
        <v>10</v>
      </c>
      <c r="AM17" s="5">
        <f>hs_11</f>
        <v>11</v>
      </c>
      <c r="AU17" s="5">
        <f>hs_12</f>
        <v>12</v>
      </c>
      <c r="BC17" s="5">
        <f>hs_13</f>
        <v>13</v>
      </c>
      <c r="BK17" s="5">
        <f>hs_14</f>
        <v>14</v>
      </c>
    </row>
    <row r="18" spans="4:66" ht="15.75" thickBot="1" x14ac:dyDescent="0.3">
      <c r="E18" s="6">
        <v>15</v>
      </c>
      <c r="F18" s="2"/>
      <c r="G18" s="2"/>
      <c r="H18" s="2"/>
      <c r="I18" s="6">
        <v>16</v>
      </c>
      <c r="J18" s="2"/>
      <c r="K18" s="2"/>
      <c r="L18" s="2"/>
      <c r="M18" s="6">
        <v>17</v>
      </c>
      <c r="N18" s="2"/>
      <c r="O18" s="2"/>
      <c r="P18" s="2"/>
      <c r="Q18" s="6">
        <v>18</v>
      </c>
      <c r="R18" s="2"/>
      <c r="S18" s="2"/>
      <c r="T18" s="2"/>
      <c r="U18" s="6">
        <v>19</v>
      </c>
      <c r="V18" s="2"/>
      <c r="W18" s="2"/>
      <c r="X18" s="2"/>
      <c r="Y18" s="6">
        <v>20</v>
      </c>
      <c r="Z18" s="2"/>
      <c r="AA18" s="2"/>
      <c r="AB18" s="2"/>
      <c r="AC18" s="6">
        <v>21</v>
      </c>
      <c r="AD18" s="2"/>
      <c r="AE18" s="2"/>
      <c r="AF18" s="2"/>
      <c r="AG18" s="6">
        <v>22</v>
      </c>
      <c r="AH18" s="2"/>
      <c r="AI18" s="2"/>
      <c r="AJ18" s="2"/>
      <c r="AK18" s="6">
        <v>23</v>
      </c>
      <c r="AL18" s="2"/>
      <c r="AM18" s="2"/>
      <c r="AN18" s="2"/>
      <c r="AO18" s="6">
        <v>24</v>
      </c>
      <c r="AP18" s="2"/>
      <c r="AQ18" s="2"/>
      <c r="AR18" s="2"/>
      <c r="AS18" s="6">
        <v>25</v>
      </c>
      <c r="AT18" s="2"/>
      <c r="AU18" s="2"/>
      <c r="AV18" s="2"/>
      <c r="AW18" s="6">
        <v>26</v>
      </c>
      <c r="AX18" s="2"/>
      <c r="AY18" s="2"/>
      <c r="AZ18" s="2"/>
      <c r="BA18" s="6">
        <v>27</v>
      </c>
      <c r="BB18" s="2"/>
      <c r="BC18" s="2"/>
      <c r="BD18" s="2"/>
      <c r="BE18" s="6">
        <v>28</v>
      </c>
      <c r="BF18" s="2"/>
      <c r="BG18" s="2"/>
      <c r="BH18" s="2"/>
      <c r="BI18" s="6">
        <v>29</v>
      </c>
      <c r="BJ18" s="2"/>
      <c r="BK18" s="2"/>
      <c r="BL18" s="2"/>
      <c r="BM18" s="6">
        <v>30</v>
      </c>
    </row>
    <row r="19" spans="4:66" ht="15.75" thickBot="1" x14ac:dyDescent="0.3">
      <c r="E19" s="5">
        <f>hs_15</f>
        <v>15</v>
      </c>
      <c r="I19" s="5">
        <f>hs_16</f>
        <v>16</v>
      </c>
      <c r="M19" s="5">
        <f>hs_17</f>
        <v>17</v>
      </c>
      <c r="Q19" s="5">
        <f>hs_18</f>
        <v>18</v>
      </c>
      <c r="U19" s="5">
        <f>hs_19</f>
        <v>19</v>
      </c>
      <c r="Y19" s="5">
        <f>hs_20</f>
        <v>20</v>
      </c>
      <c r="AC19" s="5">
        <f>hs_21</f>
        <v>21</v>
      </c>
      <c r="AG19" s="5">
        <f>hs_22</f>
        <v>22</v>
      </c>
      <c r="AK19" s="5">
        <f>hs_23</f>
        <v>23</v>
      </c>
      <c r="AO19" s="5">
        <f>hs_24</f>
        <v>24</v>
      </c>
      <c r="AS19" s="5">
        <f>hs_25</f>
        <v>25</v>
      </c>
      <c r="AW19" s="5">
        <f>hs_26</f>
        <v>26</v>
      </c>
      <c r="BA19" s="5">
        <f>hs_27</f>
        <v>27</v>
      </c>
      <c r="BE19" s="5">
        <f>hs_28</f>
        <v>28</v>
      </c>
      <c r="BI19" s="5">
        <f>hs_29</f>
        <v>29</v>
      </c>
      <c r="BM19" s="5">
        <f>hs_30</f>
        <v>30</v>
      </c>
    </row>
    <row r="20" spans="4:66" ht="15.75" thickBot="1" x14ac:dyDescent="0.3"/>
    <row r="21" spans="4:66" ht="15.75" thickBot="1" x14ac:dyDescent="0.3">
      <c r="D21" s="5">
        <f>hs_31</f>
        <v>31</v>
      </c>
      <c r="F21" s="5">
        <f>hs_32</f>
        <v>32</v>
      </c>
      <c r="H21" s="5">
        <f>hs_33</f>
        <v>33</v>
      </c>
      <c r="J21" s="5">
        <f>hs_34</f>
        <v>34</v>
      </c>
      <c r="L21" s="5">
        <f>hs_35</f>
        <v>35</v>
      </c>
      <c r="N21" s="5">
        <f>hs_36</f>
        <v>36</v>
      </c>
      <c r="P21" s="5">
        <f>hs_37</f>
        <v>37</v>
      </c>
      <c r="R21" s="5">
        <f>hs_38</f>
        <v>38</v>
      </c>
      <c r="T21" s="5">
        <f>hs_39</f>
        <v>39</v>
      </c>
      <c r="V21" s="5">
        <f>hs_40</f>
        <v>40</v>
      </c>
      <c r="X21" s="5">
        <f>hs_41</f>
        <v>41</v>
      </c>
      <c r="Z21" s="5">
        <f>hs_42</f>
        <v>42</v>
      </c>
      <c r="AB21" s="5">
        <f>hs_43</f>
        <v>43</v>
      </c>
      <c r="AD21" s="5">
        <f>hs_44</f>
        <v>44</v>
      </c>
      <c r="AF21" s="5">
        <f>hs_45</f>
        <v>45</v>
      </c>
      <c r="AH21" s="5">
        <f>hs_46</f>
        <v>46</v>
      </c>
      <c r="AJ21" s="5">
        <f>hs_47</f>
        <v>47</v>
      </c>
      <c r="AL21" s="5">
        <f>hs_48</f>
        <v>48</v>
      </c>
      <c r="AN21" s="5">
        <f>hs_49</f>
        <v>49</v>
      </c>
      <c r="AP21" s="5">
        <f>hs_50</f>
        <v>50</v>
      </c>
      <c r="AR21" s="5">
        <f>hs_51</f>
        <v>51</v>
      </c>
      <c r="AT21" s="5">
        <f>hs_52</f>
        <v>52</v>
      </c>
      <c r="AV21" s="5">
        <f>hs_53</f>
        <v>53</v>
      </c>
      <c r="AX21" s="5">
        <f>hs_54</f>
        <v>54</v>
      </c>
      <c r="AZ21" s="5">
        <f>hs_55</f>
        <v>55</v>
      </c>
      <c r="BB21" s="5">
        <f>hs_56</f>
        <v>56</v>
      </c>
      <c r="BD21" s="5">
        <f>hs_57</f>
        <v>57</v>
      </c>
      <c r="BF21" s="5">
        <f>hs_58</f>
        <v>58</v>
      </c>
      <c r="BH21" s="5">
        <f>hs_59</f>
        <v>59</v>
      </c>
      <c r="BJ21" s="5">
        <f>hs_60</f>
        <v>60</v>
      </c>
      <c r="BL21" s="5">
        <f>hs_61</f>
        <v>61</v>
      </c>
      <c r="BN21" s="5">
        <f>hs_62</f>
        <v>62</v>
      </c>
    </row>
    <row r="22" spans="4:66" x14ac:dyDescent="0.25">
      <c r="D22" s="6">
        <v>31</v>
      </c>
      <c r="E22" s="2"/>
      <c r="F22" s="6">
        <v>32</v>
      </c>
      <c r="G22" s="2"/>
      <c r="H22" s="6">
        <v>33</v>
      </c>
      <c r="I22" s="2"/>
      <c r="J22" s="6">
        <v>34</v>
      </c>
      <c r="K22" s="2"/>
      <c r="L22" s="6">
        <v>35</v>
      </c>
      <c r="M22" s="2"/>
      <c r="N22" s="6">
        <v>36</v>
      </c>
      <c r="O22" s="2"/>
      <c r="P22" s="6">
        <v>37</v>
      </c>
      <c r="Q22" s="2"/>
      <c r="R22" s="6">
        <v>38</v>
      </c>
      <c r="S22" s="2"/>
      <c r="T22" s="6">
        <v>39</v>
      </c>
      <c r="U22" s="2"/>
      <c r="V22" s="6">
        <v>40</v>
      </c>
      <c r="W22" s="2"/>
      <c r="X22" s="6">
        <v>41</v>
      </c>
      <c r="Y22" s="2"/>
      <c r="Z22" s="6">
        <v>42</v>
      </c>
      <c r="AA22" s="2"/>
      <c r="AB22" s="6">
        <v>43</v>
      </c>
      <c r="AC22" s="2"/>
      <c r="AD22" s="6">
        <v>44</v>
      </c>
      <c r="AE22" s="2"/>
      <c r="AF22" s="6">
        <v>45</v>
      </c>
      <c r="AG22" s="2"/>
      <c r="AH22" s="6">
        <v>46</v>
      </c>
      <c r="AI22" s="2"/>
      <c r="AJ22" s="6">
        <v>47</v>
      </c>
      <c r="AK22" s="2"/>
      <c r="AL22" s="6">
        <v>48</v>
      </c>
      <c r="AM22" s="2"/>
      <c r="AN22" s="6">
        <v>49</v>
      </c>
      <c r="AO22" s="2"/>
      <c r="AP22" s="6">
        <v>50</v>
      </c>
      <c r="AQ22" s="2"/>
      <c r="AR22" s="6">
        <v>51</v>
      </c>
      <c r="AS22" s="2"/>
      <c r="AT22" s="6">
        <v>52</v>
      </c>
      <c r="AU22" s="2"/>
      <c r="AV22" s="6">
        <v>53</v>
      </c>
      <c r="AW22" s="2"/>
      <c r="AX22" s="6">
        <v>54</v>
      </c>
      <c r="AY22" s="2"/>
      <c r="AZ22" s="6">
        <v>55</v>
      </c>
      <c r="BA22" s="2"/>
      <c r="BB22" s="6">
        <v>56</v>
      </c>
      <c r="BC22" s="2"/>
      <c r="BD22" s="6">
        <v>57</v>
      </c>
      <c r="BE22" s="2"/>
      <c r="BF22" s="6">
        <v>58</v>
      </c>
      <c r="BG22" s="2"/>
      <c r="BH22" s="6">
        <v>59</v>
      </c>
      <c r="BI22" s="2"/>
      <c r="BJ22" s="6">
        <v>60</v>
      </c>
      <c r="BK22" s="2"/>
      <c r="BL22" s="6">
        <v>61</v>
      </c>
      <c r="BM22" s="2"/>
      <c r="BN22" s="6">
        <v>62</v>
      </c>
    </row>
    <row r="40" spans="4:136" x14ac:dyDescent="0.25">
      <c r="EF40"/>
    </row>
    <row r="41" spans="4:136" x14ac:dyDescent="0.25">
      <c r="EF41"/>
    </row>
    <row r="42" spans="4:136" x14ac:dyDescent="0.25">
      <c r="D42" s="8"/>
      <c r="H42" s="8"/>
      <c r="L42" s="8"/>
      <c r="P42" s="8"/>
      <c r="T42" s="8"/>
      <c r="X42" s="8"/>
      <c r="AB42" s="8"/>
      <c r="AF42" s="8"/>
      <c r="AJ42" s="8"/>
      <c r="AN42" s="8"/>
      <c r="AR42" s="8"/>
      <c r="AV42" s="8"/>
      <c r="AZ42" s="8"/>
      <c r="BD42" s="8"/>
      <c r="BH42" s="8"/>
      <c r="BL42" s="8"/>
    </row>
  </sheetData>
  <conditionalFormatting sqref="G17 AI11 S13 AY13 BG15 AQ15 AA15 K15 O17 W17 AE17 AM17 AU17 BC17 BK17 E19 I19 M19 Q19 U19 Y19 AC19 AG19 AK19 AO19 AS19 AW19 BA19 BE19 BI19 BM19 D21 F21 H21 J21 L21 N21 P21 R21 T21 V21 X21 Z21 AB21 AD21 AF21 AH21 AJ21 AL21 AN21 AP21 AR21 AT21 AV21 AX21 AZ21 BB21 BD21 BF21 BH21 BJ21 BL21 BN21">
    <cfRule type="cellIs" dxfId="2" priority="384" operator="equal">
      <formula>$H$8</formula>
    </cfRule>
    <cfRule type="cellIs" dxfId="1" priority="385" operator="equal">
      <formula>$H$7</formula>
    </cfRule>
  </conditionalFormatting>
  <conditionalFormatting sqref="D4:BN4">
    <cfRule type="cellIs" dxfId="0" priority="1" operator="greaterThanOrEqual">
      <formula>$H$9</formula>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68</vt:i4>
      </vt:variant>
    </vt:vector>
  </HeadingPairs>
  <TitlesOfParts>
    <vt:vector size="69" baseType="lpstr">
      <vt:lpstr>Heap Sort</vt:lpstr>
      <vt:lpstr>hs_0</vt:lpstr>
      <vt:lpstr>hs_1</vt:lpstr>
      <vt:lpstr>hs_10</vt:lpstr>
      <vt:lpstr>hs_11</vt:lpstr>
      <vt:lpstr>hs_12</vt:lpstr>
      <vt:lpstr>hs_13</vt:lpstr>
      <vt:lpstr>hs_14</vt:lpstr>
      <vt:lpstr>hs_15</vt:lpstr>
      <vt:lpstr>hs_16</vt:lpstr>
      <vt:lpstr>hs_17</vt:lpstr>
      <vt:lpstr>hs_18</vt:lpstr>
      <vt:lpstr>hs_19</vt:lpstr>
      <vt:lpstr>hs_2</vt:lpstr>
      <vt:lpstr>hs_20</vt:lpstr>
      <vt:lpstr>hs_21</vt:lpstr>
      <vt:lpstr>hs_22</vt:lpstr>
      <vt:lpstr>hs_23</vt:lpstr>
      <vt:lpstr>hs_24</vt:lpstr>
      <vt:lpstr>hs_25</vt:lpstr>
      <vt:lpstr>hs_26</vt:lpstr>
      <vt:lpstr>hs_27</vt:lpstr>
      <vt:lpstr>hs_28</vt:lpstr>
      <vt:lpstr>hs_29</vt:lpstr>
      <vt:lpstr>hs_3</vt:lpstr>
      <vt:lpstr>hs_30</vt:lpstr>
      <vt:lpstr>hs_31</vt:lpstr>
      <vt:lpstr>hs_32</vt:lpstr>
      <vt:lpstr>hs_33</vt:lpstr>
      <vt:lpstr>hs_34</vt:lpstr>
      <vt:lpstr>hs_35</vt:lpstr>
      <vt:lpstr>hs_36</vt:lpstr>
      <vt:lpstr>hs_37</vt:lpstr>
      <vt:lpstr>hs_38</vt:lpstr>
      <vt:lpstr>hs_39</vt:lpstr>
      <vt:lpstr>hs_4</vt:lpstr>
      <vt:lpstr>hs_40</vt:lpstr>
      <vt:lpstr>hs_41</vt:lpstr>
      <vt:lpstr>hs_42</vt:lpstr>
      <vt:lpstr>hs_43</vt:lpstr>
      <vt:lpstr>hs_44</vt:lpstr>
      <vt:lpstr>hs_45</vt:lpstr>
      <vt:lpstr>hs_46</vt:lpstr>
      <vt:lpstr>hs_47</vt:lpstr>
      <vt:lpstr>hs_48</vt:lpstr>
      <vt:lpstr>hs_49</vt:lpstr>
      <vt:lpstr>hs_5</vt:lpstr>
      <vt:lpstr>hs_50</vt:lpstr>
      <vt:lpstr>hs_51</vt:lpstr>
      <vt:lpstr>hs_52</vt:lpstr>
      <vt:lpstr>hs_53</vt:lpstr>
      <vt:lpstr>hs_54</vt:lpstr>
      <vt:lpstr>hs_55</vt:lpstr>
      <vt:lpstr>hs_56</vt:lpstr>
      <vt:lpstr>hs_57</vt:lpstr>
      <vt:lpstr>hs_58</vt:lpstr>
      <vt:lpstr>hs_59</vt:lpstr>
      <vt:lpstr>hs_6</vt:lpstr>
      <vt:lpstr>hs_60</vt:lpstr>
      <vt:lpstr>hs_61</vt:lpstr>
      <vt:lpstr>hs_62</vt:lpstr>
      <vt:lpstr>hs_63</vt:lpstr>
      <vt:lpstr>hs_7</vt:lpstr>
      <vt:lpstr>hs_8</vt:lpstr>
      <vt:lpstr>hs_9</vt:lpstr>
      <vt:lpstr>hs_array</vt:lpstr>
      <vt:lpstr>hs_child</vt:lpstr>
      <vt:lpstr>hs_root</vt:lpstr>
      <vt:lpstr>hs_sorted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tcregar</dc:creator>
  <cp:lastModifiedBy>tcregar</cp:lastModifiedBy>
  <dcterms:created xsi:type="dcterms:W3CDTF">2020-08-02T19:29:59Z</dcterms:created>
  <dcterms:modified xsi:type="dcterms:W3CDTF">2020-08-17T01:31:03Z</dcterms:modified>
</cp:coreProperties>
</file>