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tcregar\Desktop\Sorting Algorythems\"/>
    </mc:Choice>
  </mc:AlternateContent>
  <xr:revisionPtr revIDLastSave="0" documentId="13_ncr:1_{69E51998-A69E-4901-8AF1-A4250CF08B28}" xr6:coauthVersionLast="45" xr6:coauthVersionMax="45" xr10:uidLastSave="{00000000-0000-0000-0000-000000000000}"/>
  <bookViews>
    <workbookView xWindow="28680" yWindow="-120" windowWidth="29040" windowHeight="15840" xr2:uid="{7CFF2F5A-1C6B-436B-BBBC-19F1F7DF5F2D}"/>
  </bookViews>
  <sheets>
    <sheet name="Heap Sort" sheetId="3" r:id="rId1"/>
  </sheets>
  <definedNames>
    <definedName name="cur_element">#REF!</definedName>
    <definedName name="cur_order">#REF!</definedName>
    <definedName name="data_set">#REF!</definedName>
    <definedName name="end">#REF!</definedName>
    <definedName name="hs_0">'Heap Sort'!$D$4</definedName>
    <definedName name="hs_1">'Heap Sort'!$E$4</definedName>
    <definedName name="hs_10">'Heap Sort'!$N$4</definedName>
    <definedName name="hs_11">'Heap Sort'!$O$4</definedName>
    <definedName name="hs_12">'Heap Sort'!$P$4</definedName>
    <definedName name="hs_13">'Heap Sort'!$Q$4</definedName>
    <definedName name="hs_14">'Heap Sort'!$R$4</definedName>
    <definedName name="hs_15">'Heap Sort'!$S$4</definedName>
    <definedName name="hs_16">'Heap Sort'!$T$4</definedName>
    <definedName name="hs_17">'Heap Sort'!$U$4</definedName>
    <definedName name="hs_18">'Heap Sort'!$V$4</definedName>
    <definedName name="hs_19">'Heap Sort'!$W$4</definedName>
    <definedName name="hs_2">'Heap Sort'!$F$4</definedName>
    <definedName name="hs_20">'Heap Sort'!$X$4</definedName>
    <definedName name="hs_21">'Heap Sort'!$Y$4</definedName>
    <definedName name="hs_22">'Heap Sort'!$Z$4</definedName>
    <definedName name="hs_23">'Heap Sort'!$AA$4</definedName>
    <definedName name="hs_24">'Heap Sort'!$AB$4</definedName>
    <definedName name="hs_25">'Heap Sort'!$AC$4</definedName>
    <definedName name="hs_26">'Heap Sort'!$AD$4</definedName>
    <definedName name="hs_27">'Heap Sort'!$AE$4</definedName>
    <definedName name="hs_28">'Heap Sort'!$AF$4</definedName>
    <definedName name="hs_29">'Heap Sort'!$AG$4</definedName>
    <definedName name="hs_3">'Heap Sort'!$G$4</definedName>
    <definedName name="hs_30">'Heap Sort'!$AH$4</definedName>
    <definedName name="hs_31">'Heap Sort'!$AI$4</definedName>
    <definedName name="hs_32">'Heap Sort'!$AJ$4</definedName>
    <definedName name="hs_33">'Heap Sort'!$AK$4</definedName>
    <definedName name="hs_34">'Heap Sort'!$AL$4</definedName>
    <definedName name="hs_35">'Heap Sort'!$AM$4</definedName>
    <definedName name="hs_36">'Heap Sort'!$AN$4</definedName>
    <definedName name="hs_37">'Heap Sort'!$AO$4</definedName>
    <definedName name="hs_38">'Heap Sort'!$AP$4</definedName>
    <definedName name="hs_39">'Heap Sort'!$AQ$4</definedName>
    <definedName name="hs_4">'Heap Sort'!$H$4</definedName>
    <definedName name="hs_40">'Heap Sort'!$AR$4</definedName>
    <definedName name="hs_41">'Heap Sort'!$AS$4</definedName>
    <definedName name="hs_42">'Heap Sort'!$AT$4</definedName>
    <definedName name="hs_43">'Heap Sort'!$AU$4</definedName>
    <definedName name="hs_44">'Heap Sort'!$AV$4</definedName>
    <definedName name="hs_45">'Heap Sort'!$AW$4</definedName>
    <definedName name="hs_46">'Heap Sort'!$AX$4</definedName>
    <definedName name="hs_47">'Heap Sort'!$AY$4</definedName>
    <definedName name="hs_48">'Heap Sort'!$AZ$4</definedName>
    <definedName name="hs_49">'Heap Sort'!$BA$4</definedName>
    <definedName name="hs_5">'Heap Sort'!$I$4</definedName>
    <definedName name="hs_50">'Heap Sort'!$BB$4</definedName>
    <definedName name="hs_51">'Heap Sort'!$BC$4</definedName>
    <definedName name="hs_52">'Heap Sort'!$BD$4</definedName>
    <definedName name="hs_53">'Heap Sort'!$BE$4</definedName>
    <definedName name="hs_54">'Heap Sort'!$BF$4</definedName>
    <definedName name="hs_55">'Heap Sort'!$BG$4</definedName>
    <definedName name="hs_56">'Heap Sort'!$BH$4</definedName>
    <definedName name="hs_57">'Heap Sort'!$BI$4</definedName>
    <definedName name="hs_58">'Heap Sort'!$BJ$4</definedName>
    <definedName name="hs_59">'Heap Sort'!$BK$4</definedName>
    <definedName name="hs_6">'Heap Sort'!$J$4</definedName>
    <definedName name="hs_60">'Heap Sort'!$BL$4</definedName>
    <definedName name="hs_61">'Heap Sort'!$BM$4</definedName>
    <definedName name="hs_62">'Heap Sort'!$BN$4</definedName>
    <definedName name="hs_63">'Heap Sort'!$BN$4</definedName>
    <definedName name="hs_7">'Heap Sort'!$K$4</definedName>
    <definedName name="hs_8">'Heap Sort'!$L$4</definedName>
    <definedName name="hs_9">'Heap Sort'!$M$4</definedName>
    <definedName name="hs_array">'Heap Sort'!$D$4:$BN$4</definedName>
    <definedName name="hs_check">'Heap Sort'!#REF!</definedName>
    <definedName name="hs_child">'Heap Sort'!$H$8</definedName>
    <definedName name="hs_root">'Heap Sort'!$H$7</definedName>
    <definedName name="hs_sorted">'Heap Sort'!$H$9</definedName>
    <definedName name="id_0">#REF!</definedName>
    <definedName name="id_1">#REF!</definedName>
    <definedName name="id_10">#REF!</definedName>
    <definedName name="id_11">#REF!</definedName>
    <definedName name="id_12">#REF!</definedName>
    <definedName name="id_13">#REF!</definedName>
    <definedName name="id_14">#REF!</definedName>
    <definedName name="id_15">#REF!</definedName>
    <definedName name="id_16">#REF!</definedName>
    <definedName name="id_17">#REF!</definedName>
    <definedName name="id_18">#REF!</definedName>
    <definedName name="id_19">#REF!</definedName>
    <definedName name="id_2">#REF!</definedName>
    <definedName name="id_20">#REF!</definedName>
    <definedName name="id_21">#REF!</definedName>
    <definedName name="id_22">#REF!</definedName>
    <definedName name="id_23">#REF!</definedName>
    <definedName name="id_24">#REF!</definedName>
    <definedName name="id_3">#REF!</definedName>
    <definedName name="id_4">#REF!</definedName>
    <definedName name="id_5">#REF!</definedName>
    <definedName name="id_6">#REF!</definedName>
    <definedName name="id_7">#REF!</definedName>
    <definedName name="id_8">#REF!</definedName>
    <definedName name="id_9">#REF!</definedName>
    <definedName name="m1_a">#REF!</definedName>
    <definedName name="m1_b">#REF!</definedName>
    <definedName name="m1_c">#REF!</definedName>
    <definedName name="m1_d">#REF!</definedName>
    <definedName name="m1_e">#REF!</definedName>
    <definedName name="m1_f">#REF!</definedName>
    <definedName name="m1_g">#REF!</definedName>
    <definedName name="m1_h">#REF!</definedName>
    <definedName name="m1_i">#REF!</definedName>
    <definedName name="m1_j">#REF!</definedName>
    <definedName name="m1_k">#REF!</definedName>
    <definedName name="m1_l">#REF!</definedName>
    <definedName name="m1_m">#REF!</definedName>
    <definedName name="m1_n">#REF!</definedName>
    <definedName name="m1_o">#REF!</definedName>
    <definedName name="m1_p">#REF!</definedName>
    <definedName name="m2_a">#REF!</definedName>
    <definedName name="m2_b">#REF!</definedName>
    <definedName name="m2_c">#REF!</definedName>
    <definedName name="m2_d">#REF!</definedName>
    <definedName name="m2_e">#REF!</definedName>
    <definedName name="m2_f">#REF!</definedName>
    <definedName name="m2_g">#REF!</definedName>
    <definedName name="m2_h">#REF!</definedName>
    <definedName name="m3_a">#REF!</definedName>
    <definedName name="m3_b">#REF!</definedName>
    <definedName name="m3_c">#REF!</definedName>
    <definedName name="m3_d">#REF!</definedName>
    <definedName name="m4_a">#REF!</definedName>
    <definedName name="m4_b">#REF!</definedName>
    <definedName name="opp_cnt">#REF!</definedName>
    <definedName name="s1_a">#REF!</definedName>
    <definedName name="s1_c">#REF!</definedName>
    <definedName name="s1_e">#REF!</definedName>
    <definedName name="s1_f">#REF!</definedName>
    <definedName name="s1_g">#REF!</definedName>
    <definedName name="s1_i">#REF!</definedName>
    <definedName name="s1_k">#REF!</definedName>
    <definedName name="s1_m">#REF!</definedName>
    <definedName name="s1_o">#REF!</definedName>
    <definedName name="s2_a">#REF!</definedName>
    <definedName name="s2_b">#REF!</definedName>
    <definedName name="s2_c">#REF!</definedName>
    <definedName name="s2_d">#REF!</definedName>
    <definedName name="s2_e">#REF!</definedName>
    <definedName name="s2_f">#REF!</definedName>
    <definedName name="s2_g">#REF!</definedName>
    <definedName name="s2_h">#REF!</definedName>
    <definedName name="s3_a">#REF!</definedName>
    <definedName name="s3_b">#REF!</definedName>
    <definedName name="s3_c">#REF!</definedName>
    <definedName name="s3_d">#REF!</definedName>
    <definedName name="s4_a">#REF!</definedName>
    <definedName name="s4_b">#REF!</definedName>
    <definedName name="sort">#REF!</definedName>
    <definedName name="split1">#REF!</definedName>
    <definedName name="split10">#REF!</definedName>
    <definedName name="split11">#REF!</definedName>
    <definedName name="split12">#REF!</definedName>
    <definedName name="split13">#REF!</definedName>
    <definedName name="split14">#REF!</definedName>
    <definedName name="split15">#REF!</definedName>
    <definedName name="split16">#REF!</definedName>
    <definedName name="split17">#REF!</definedName>
    <definedName name="split18">#REF!</definedName>
    <definedName name="split19">#REF!</definedName>
    <definedName name="split2">#REF!</definedName>
    <definedName name="split20">#REF!</definedName>
    <definedName name="split21">#REF!</definedName>
    <definedName name="split22">#REF!</definedName>
    <definedName name="split23">#REF!</definedName>
    <definedName name="split24">#REF!</definedName>
    <definedName name="split25">#REF!</definedName>
    <definedName name="split26">#REF!</definedName>
    <definedName name="split27">#REF!</definedName>
    <definedName name="split28">#REF!</definedName>
    <definedName name="split29">#REF!</definedName>
    <definedName name="split3">#REF!</definedName>
    <definedName name="split30">#REF!</definedName>
    <definedName name="split4">#REF!</definedName>
    <definedName name="split5">#REF!</definedName>
    <definedName name="split6">#REF!</definedName>
    <definedName name="split7">#REF!</definedName>
    <definedName name="split8">#REF!</definedName>
    <definedName name="split9">#REF!</definedName>
    <definedName name="start">#REF!</definedName>
    <definedName name="valu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21" i="3" l="1"/>
  <c r="D21" i="3"/>
  <c r="BL21" i="3" l="1"/>
  <c r="BJ21" i="3"/>
  <c r="BH21" i="3"/>
  <c r="BF21" i="3"/>
  <c r="BD21" i="3"/>
  <c r="BB21" i="3"/>
  <c r="AZ21" i="3"/>
  <c r="AX21" i="3"/>
  <c r="AV21" i="3"/>
  <c r="AT21" i="3"/>
  <c r="AR21" i="3"/>
  <c r="AP21" i="3"/>
  <c r="AN21" i="3"/>
  <c r="AL21" i="3"/>
  <c r="AJ21" i="3"/>
  <c r="AH21" i="3"/>
  <c r="AF21" i="3"/>
  <c r="AD21" i="3"/>
  <c r="AB21" i="3"/>
  <c r="Z21" i="3"/>
  <c r="X21" i="3"/>
  <c r="V21" i="3"/>
  <c r="T21" i="3"/>
  <c r="R21" i="3"/>
  <c r="P21" i="3"/>
  <c r="N21" i="3"/>
  <c r="L21" i="3"/>
  <c r="J21" i="3"/>
  <c r="H21" i="3"/>
  <c r="F21" i="3"/>
  <c r="BM19" i="3"/>
  <c r="BI19" i="3"/>
  <c r="BE19" i="3"/>
  <c r="BA19" i="3"/>
  <c r="AW19" i="3"/>
  <c r="AS19" i="3"/>
  <c r="AO19" i="3"/>
  <c r="AK19" i="3"/>
  <c r="AG19" i="3"/>
  <c r="AC19" i="3"/>
  <c r="Y19" i="3"/>
  <c r="U19" i="3"/>
  <c r="Q19" i="3"/>
  <c r="M19" i="3"/>
  <c r="I19" i="3"/>
  <c r="E19" i="3"/>
  <c r="BK17" i="3"/>
  <c r="BC17" i="3"/>
  <c r="AU17" i="3"/>
  <c r="AM17" i="3"/>
  <c r="AE17" i="3"/>
  <c r="W17" i="3"/>
  <c r="O17" i="3"/>
  <c r="G17" i="3"/>
  <c r="BG15" i="3"/>
  <c r="AQ15" i="3"/>
  <c r="AA15" i="3"/>
  <c r="K15" i="3"/>
  <c r="AY13" i="3"/>
  <c r="S13" i="3"/>
  <c r="AI11" i="3"/>
</calcChain>
</file>

<file path=xl/sharedStrings.xml><?xml version="1.0" encoding="utf-8"?>
<sst xmlns="http://schemas.openxmlformats.org/spreadsheetml/2006/main" count="5" uniqueCount="5">
  <si>
    <t>Index</t>
  </si>
  <si>
    <t>Array</t>
  </si>
  <si>
    <t>Root/Parent</t>
  </si>
  <si>
    <t>Child/Swap</t>
  </si>
  <si>
    <t>Sorted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</si>
</sst>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8"/>
      <color theme="1"/>
      <name val="Calibri"/>
      <family val="2"/>
      <scheme val="minor"/>
    </font>
    <font>
      <i/>
      <sz val="8"/>
      <color theme="1" tint="0.499984740745262"/>
      <name val="Calibri"/>
      <family val="2"/>
      <scheme val="minor"/>
    </font>
  </fonts>
  <fills count="2">
    <fill>
      <patternFill patternType="none"/>
    </fill>
    <fill>
      <patternFill patternType="gray125"/>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0" fillId="0" borderId="0" xfId="0" applyAlignment="1">
      <alignment horizontal="center"/>
    </xf>
    <xf numFmtId="0" fontId="2" fillId="0" borderId="0" xfId="0" applyFont="1" applyAlignment="1">
      <alignment horizontal="center"/>
    </xf>
    <xf numFmtId="0" fontId="1" fillId="0" borderId="0" xfId="0" applyFont="1" applyAlignment="1">
      <alignment horizontal="left"/>
    </xf>
    <xf numFmtId="0" fontId="0" fillId="0" borderId="1" xfId="0" applyBorder="1" applyAlignment="1">
      <alignment horizontal="center"/>
    </xf>
    <xf numFmtId="0" fontId="1" fillId="0" borderId="1" xfId="0" applyFont="1" applyBorder="1" applyAlignment="1">
      <alignment horizontal="center" vertical="center"/>
    </xf>
    <xf numFmtId="0" fontId="3" fillId="0" borderId="0" xfId="0" applyFont="1" applyAlignment="1">
      <alignment horizontal="center"/>
    </xf>
    <xf numFmtId="0" fontId="0" fillId="0" borderId="1" xfId="0" quotePrefix="1" applyBorder="1" applyAlignment="1">
      <alignment horizontal="center"/>
    </xf>
    <xf numFmtId="0" fontId="0" fillId="0" borderId="0" xfId="0" quotePrefix="1" applyAlignment="1">
      <alignment horizontal="center"/>
    </xf>
  </cellXfs>
  <cellStyles count="1">
    <cellStyle name="Normal" xfId="0" builtinId="0"/>
  </cellStyles>
  <dxfs count="3">
    <dxf>
      <font>
        <b/>
        <i val="0"/>
        <color theme="0"/>
      </font>
      <fill>
        <patternFill>
          <bgColor rgb="FF00B050"/>
        </patternFill>
      </fill>
    </dxf>
    <dxf>
      <fill>
        <patternFill>
          <bgColor rgb="FFFFFF00"/>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Heap Sort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'Heap Sort'!$D$4:$BM$4</c:f>
              <c:numCache>
                <c:formatCode>General</c:formatCode>
                <c:ptCount val="6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numCache>
            </c:numRef>
          </c:val>
          <c:extLst>
            <c:ext xmlns:c16="http://schemas.microsoft.com/office/drawing/2014/chart" uri="{C3380CC4-5D6E-409C-BE32-E72D297353CC}">
              <c16:uniqueId val="{00000000-2DED-4AC4-BA9F-32875E4FFFF7}"/>
            </c:ext>
          </c:extLst>
        </c:ser>
        <c:dLbls>
          <c:showLegendKey val="0"/>
          <c:showVal val="0"/>
          <c:showCatName val="0"/>
          <c:showSerName val="0"/>
          <c:showPercent val="0"/>
          <c:showBubbleSize val="0"/>
        </c:dLbls>
        <c:gapWidth val="100"/>
        <c:overlap val="-24"/>
        <c:axId val="1191525663"/>
        <c:axId val="380532287"/>
      </c:barChart>
      <c:catAx>
        <c:axId val="119152566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32287"/>
        <c:crosses val="autoZero"/>
        <c:auto val="1"/>
        <c:lblAlgn val="ctr"/>
        <c:lblOffset val="100"/>
        <c:noMultiLvlLbl val="0"/>
      </c:catAx>
      <c:valAx>
        <c:axId val="380532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525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0</xdr:colOff>
      <xdr:row>12</xdr:row>
      <xdr:rowOff>190500</xdr:rowOff>
    </xdr:from>
    <xdr:to>
      <xdr:col>17</xdr:col>
      <xdr:colOff>228600</xdr:colOff>
      <xdr:row>14</xdr:row>
      <xdr:rowOff>104775</xdr:rowOff>
    </xdr:to>
    <xdr:cxnSp macro="">
      <xdr:nvCxnSpPr>
        <xdr:cNvPr id="2" name="Straight Arrow Connector 1">
          <a:extLst>
            <a:ext uri="{FF2B5EF4-FFF2-40B4-BE49-F238E27FC236}">
              <a16:creationId xmlns:a16="http://schemas.microsoft.com/office/drawing/2014/main" id="{00000000-0008-0000-0200-000002000000}"/>
            </a:ext>
          </a:extLst>
        </xdr:cNvPr>
        <xdr:cNvCxnSpPr/>
      </xdr:nvCxnSpPr>
      <xdr:spPr>
        <a:xfrm flipH="1">
          <a:off x="6705600" y="1905000"/>
          <a:ext cx="3886200"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xdr:colOff>
      <xdr:row>13</xdr:row>
      <xdr:rowOff>9525</xdr:rowOff>
    </xdr:from>
    <xdr:to>
      <xdr:col>26</xdr:col>
      <xdr:colOff>0</xdr:colOff>
      <xdr:row>14</xdr:row>
      <xdr:rowOff>114300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1591925" y="1914525"/>
          <a:ext cx="425767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xdr:colOff>
      <xdr:row>15</xdr:row>
      <xdr:rowOff>9525</xdr:rowOff>
    </xdr:from>
    <xdr:to>
      <xdr:col>10</xdr:col>
      <xdr:colOff>38101</xdr:colOff>
      <xdr:row>16</xdr:row>
      <xdr:rowOff>95250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767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190500</xdr:colOff>
      <xdr:row>15</xdr:row>
      <xdr:rowOff>9525</xdr:rowOff>
    </xdr:from>
    <xdr:to>
      <xdr:col>13</xdr:col>
      <xdr:colOff>238125</xdr:colOff>
      <xdr:row>16</xdr:row>
      <xdr:rowOff>95250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62865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9525</xdr:colOff>
      <xdr:row>15</xdr:row>
      <xdr:rowOff>9525</xdr:rowOff>
    </xdr:from>
    <xdr:to>
      <xdr:col>26</xdr:col>
      <xdr:colOff>38101</xdr:colOff>
      <xdr:row>16</xdr:row>
      <xdr:rowOff>95250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a:off x="140303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190500</xdr:colOff>
      <xdr:row>15</xdr:row>
      <xdr:rowOff>9525</xdr:rowOff>
    </xdr:from>
    <xdr:to>
      <xdr:col>29</xdr:col>
      <xdr:colOff>238125</xdr:colOff>
      <xdr:row>16</xdr:row>
      <xdr:rowOff>95250</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60401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17</xdr:row>
      <xdr:rowOff>19050</xdr:rowOff>
    </xdr:from>
    <xdr:to>
      <xdr:col>6</xdr:col>
      <xdr:colOff>66676</xdr:colOff>
      <xdr:row>18</xdr:row>
      <xdr:rowOff>114300</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3057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152400</xdr:colOff>
      <xdr:row>17</xdr:row>
      <xdr:rowOff>9525</xdr:rowOff>
    </xdr:from>
    <xdr:to>
      <xdr:col>7</xdr:col>
      <xdr:colOff>238125</xdr:colOff>
      <xdr:row>18</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3810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17</xdr:row>
      <xdr:rowOff>19050</xdr:rowOff>
    </xdr:from>
    <xdr:to>
      <xdr:col>14</xdr:col>
      <xdr:colOff>66676</xdr:colOff>
      <xdr:row>18</xdr:row>
      <xdr:rowOff>114300</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79343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152400</xdr:colOff>
      <xdr:row>17</xdr:row>
      <xdr:rowOff>9525</xdr:rowOff>
    </xdr:from>
    <xdr:to>
      <xdr:col>15</xdr:col>
      <xdr:colOff>238125</xdr:colOff>
      <xdr:row>18</xdr:row>
      <xdr:rowOff>114300</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86868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9525</xdr:colOff>
      <xdr:row>17</xdr:row>
      <xdr:rowOff>9525</xdr:rowOff>
    </xdr:from>
    <xdr:to>
      <xdr:col>22</xdr:col>
      <xdr:colOff>66676</xdr:colOff>
      <xdr:row>18</xdr:row>
      <xdr:rowOff>104775</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12811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152400</xdr:colOff>
      <xdr:row>17</xdr:row>
      <xdr:rowOff>0</xdr:rowOff>
    </xdr:from>
    <xdr:to>
      <xdr:col>23</xdr:col>
      <xdr:colOff>238125</xdr:colOff>
      <xdr:row>18</xdr:row>
      <xdr:rowOff>104775</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3563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9525</xdr:colOff>
      <xdr:row>17</xdr:row>
      <xdr:rowOff>9525</xdr:rowOff>
    </xdr:from>
    <xdr:to>
      <xdr:col>30</xdr:col>
      <xdr:colOff>66676</xdr:colOff>
      <xdr:row>18</xdr:row>
      <xdr:rowOff>104775</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76879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152400</xdr:colOff>
      <xdr:row>17</xdr:row>
      <xdr:rowOff>0</xdr:rowOff>
    </xdr:from>
    <xdr:to>
      <xdr:col>31</xdr:col>
      <xdr:colOff>238125</xdr:colOff>
      <xdr:row>18</xdr:row>
      <xdr:rowOff>104775</xdr:rowOff>
    </xdr:to>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184404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104775</xdr:colOff>
      <xdr:row>19</xdr:row>
      <xdr:rowOff>0</xdr:rowOff>
    </xdr:from>
    <xdr:to>
      <xdr:col>4</xdr:col>
      <xdr:colOff>2</xdr:colOff>
      <xdr:row>19</xdr:row>
      <xdr:rowOff>180975</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9335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19</xdr:row>
      <xdr:rowOff>0</xdr:rowOff>
    </xdr:from>
    <xdr:to>
      <xdr:col>5</xdr:col>
      <xdr:colOff>133350</xdr:colOff>
      <xdr:row>19</xdr:row>
      <xdr:rowOff>190500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30575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95250</xdr:colOff>
      <xdr:row>19</xdr:row>
      <xdr:rowOff>0</xdr:rowOff>
    </xdr:from>
    <xdr:to>
      <xdr:col>7</xdr:col>
      <xdr:colOff>238127</xdr:colOff>
      <xdr:row>19</xdr:row>
      <xdr:rowOff>180975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43624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19</xdr:row>
      <xdr:rowOff>0</xdr:rowOff>
    </xdr:from>
    <xdr:to>
      <xdr:col>9</xdr:col>
      <xdr:colOff>123825</xdr:colOff>
      <xdr:row>19</xdr:row>
      <xdr:rowOff>190500</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4864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104775</xdr:colOff>
      <xdr:row>18</xdr:row>
      <xdr:rowOff>180975</xdr:rowOff>
    </xdr:from>
    <xdr:to>
      <xdr:col>12</xdr:col>
      <xdr:colOff>2</xdr:colOff>
      <xdr:row>19</xdr:row>
      <xdr:rowOff>161925</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a:off x="68103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18</xdr:row>
      <xdr:rowOff>180975</xdr:rowOff>
    </xdr:from>
    <xdr:to>
      <xdr:col>13</xdr:col>
      <xdr:colOff>133350</xdr:colOff>
      <xdr:row>19</xdr:row>
      <xdr:rowOff>171450</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79343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18</xdr:row>
      <xdr:rowOff>190500</xdr:rowOff>
    </xdr:from>
    <xdr:to>
      <xdr:col>16</xdr:col>
      <xdr:colOff>2</xdr:colOff>
      <xdr:row>19</xdr:row>
      <xdr:rowOff>171450</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H="1">
          <a:off x="92487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18</xdr:row>
      <xdr:rowOff>190500</xdr:rowOff>
    </xdr:from>
    <xdr:to>
      <xdr:col>17</xdr:col>
      <xdr:colOff>133350</xdr:colOff>
      <xdr:row>19</xdr:row>
      <xdr:rowOff>180975</xdr:rowOff>
    </xdr:to>
    <xdr:cxnSp macro="">
      <xdr:nvCxnSpPr>
        <xdr:cNvPr id="23" name="Straight Arrow Connector 22">
          <a:extLst>
            <a:ext uri="{FF2B5EF4-FFF2-40B4-BE49-F238E27FC236}">
              <a16:creationId xmlns:a16="http://schemas.microsoft.com/office/drawing/2014/main" id="{00000000-0008-0000-0200-000017000000}"/>
            </a:ext>
          </a:extLst>
        </xdr:cNvPr>
        <xdr:cNvCxnSpPr/>
      </xdr:nvCxnSpPr>
      <xdr:spPr>
        <a:xfrm>
          <a:off x="103727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95250</xdr:colOff>
      <xdr:row>19</xdr:row>
      <xdr:rowOff>0</xdr:rowOff>
    </xdr:from>
    <xdr:to>
      <xdr:col>19</xdr:col>
      <xdr:colOff>238127</xdr:colOff>
      <xdr:row>19</xdr:row>
      <xdr:rowOff>180975</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flipH="1">
          <a:off x="11677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19</xdr:row>
      <xdr:rowOff>0</xdr:rowOff>
    </xdr:from>
    <xdr:to>
      <xdr:col>21</xdr:col>
      <xdr:colOff>123825</xdr:colOff>
      <xdr:row>19</xdr:row>
      <xdr:rowOff>190500</xdr:rowOff>
    </xdr:to>
    <xdr:cxnSp macro="">
      <xdr:nvCxnSpPr>
        <xdr:cNvPr id="25" name="Straight Arrow Connector 24">
          <a:extLst>
            <a:ext uri="{FF2B5EF4-FFF2-40B4-BE49-F238E27FC236}">
              <a16:creationId xmlns:a16="http://schemas.microsoft.com/office/drawing/2014/main" id="{00000000-0008-0000-0200-000019000000}"/>
            </a:ext>
          </a:extLst>
        </xdr:cNvPr>
        <xdr:cNvCxnSpPr/>
      </xdr:nvCxnSpPr>
      <xdr:spPr>
        <a:xfrm>
          <a:off x="12801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85725</xdr:colOff>
      <xdr:row>19</xdr:row>
      <xdr:rowOff>0</xdr:rowOff>
    </xdr:from>
    <xdr:to>
      <xdr:col>23</xdr:col>
      <xdr:colOff>228602</xdr:colOff>
      <xdr:row>19</xdr:row>
      <xdr:rowOff>180975</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H="1">
          <a:off x="141065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238125</xdr:colOff>
      <xdr:row>19</xdr:row>
      <xdr:rowOff>0</xdr:rowOff>
    </xdr:from>
    <xdr:to>
      <xdr:col>25</xdr:col>
      <xdr:colOff>114300</xdr:colOff>
      <xdr:row>19</xdr:row>
      <xdr:rowOff>190500</xdr:rowOff>
    </xdr:to>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148685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114300</xdr:colOff>
      <xdr:row>19</xdr:row>
      <xdr:rowOff>0</xdr:rowOff>
    </xdr:from>
    <xdr:to>
      <xdr:col>28</xdr:col>
      <xdr:colOff>9527</xdr:colOff>
      <xdr:row>19</xdr:row>
      <xdr:rowOff>180975</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flipH="1">
          <a:off x="165735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19050</xdr:colOff>
      <xdr:row>19</xdr:row>
      <xdr:rowOff>0</xdr:rowOff>
    </xdr:from>
    <xdr:to>
      <xdr:col>29</xdr:col>
      <xdr:colOff>142875</xdr:colOff>
      <xdr:row>19</xdr:row>
      <xdr:rowOff>190500</xdr:rowOff>
    </xdr:to>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176974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95250</xdr:colOff>
      <xdr:row>19</xdr:row>
      <xdr:rowOff>9525</xdr:rowOff>
    </xdr:from>
    <xdr:to>
      <xdr:col>31</xdr:col>
      <xdr:colOff>238127</xdr:colOff>
      <xdr:row>19</xdr:row>
      <xdr:rowOff>190500</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flipH="1">
          <a:off x="189928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19</xdr:row>
      <xdr:rowOff>9525</xdr:rowOff>
    </xdr:from>
    <xdr:to>
      <xdr:col>33</xdr:col>
      <xdr:colOff>123825</xdr:colOff>
      <xdr:row>20</xdr:row>
      <xdr:rowOff>0</xdr:rowOff>
    </xdr:to>
    <xdr:cxnSp macro="">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201168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12</xdr:row>
      <xdr:rowOff>180975</xdr:rowOff>
    </xdr:from>
    <xdr:to>
      <xdr:col>50</xdr:col>
      <xdr:colOff>0</xdr:colOff>
      <xdr:row>14</xdr:row>
      <xdr:rowOff>104775</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26212800" y="1895475"/>
          <a:ext cx="4267200"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xdr:colOff>
      <xdr:row>12</xdr:row>
      <xdr:rowOff>190500</xdr:rowOff>
    </xdr:from>
    <xdr:to>
      <xdr:col>58</xdr:col>
      <xdr:colOff>0</xdr:colOff>
      <xdr:row>14</xdr:row>
      <xdr:rowOff>114300</xdr:rowOff>
    </xdr:to>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1099125" y="1905000"/>
          <a:ext cx="4257675"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xdr:colOff>
      <xdr:row>15</xdr:row>
      <xdr:rowOff>9525</xdr:rowOff>
    </xdr:from>
    <xdr:to>
      <xdr:col>42</xdr:col>
      <xdr:colOff>38101</xdr:colOff>
      <xdr:row>16</xdr:row>
      <xdr:rowOff>95250</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237839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190500</xdr:colOff>
      <xdr:row>15</xdr:row>
      <xdr:rowOff>9525</xdr:rowOff>
    </xdr:from>
    <xdr:to>
      <xdr:col>45</xdr:col>
      <xdr:colOff>238125</xdr:colOff>
      <xdr:row>16</xdr:row>
      <xdr:rowOff>95250</xdr:rowOff>
    </xdr:to>
    <xdr:cxnSp macro="">
      <xdr:nvCxnSpPr>
        <xdr:cNvPr id="35" name="Straight Arrow Connector 34">
          <a:extLst>
            <a:ext uri="{FF2B5EF4-FFF2-40B4-BE49-F238E27FC236}">
              <a16:creationId xmlns:a16="http://schemas.microsoft.com/office/drawing/2014/main" id="{00000000-0008-0000-0200-000023000000}"/>
            </a:ext>
          </a:extLst>
        </xdr:cNvPr>
        <xdr:cNvCxnSpPr/>
      </xdr:nvCxnSpPr>
      <xdr:spPr>
        <a:xfrm>
          <a:off x="257937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9525</xdr:colOff>
      <xdr:row>15</xdr:row>
      <xdr:rowOff>9525</xdr:rowOff>
    </xdr:from>
    <xdr:to>
      <xdr:col>58</xdr:col>
      <xdr:colOff>38101</xdr:colOff>
      <xdr:row>16</xdr:row>
      <xdr:rowOff>95250</xdr:rowOff>
    </xdr:to>
    <xdr:cxnSp macro="">
      <xdr:nvCxnSpPr>
        <xdr:cNvPr id="36" name="Straight Arrow Connector 35">
          <a:extLst>
            <a:ext uri="{FF2B5EF4-FFF2-40B4-BE49-F238E27FC236}">
              <a16:creationId xmlns:a16="http://schemas.microsoft.com/office/drawing/2014/main" id="{00000000-0008-0000-0200-000024000000}"/>
            </a:ext>
          </a:extLst>
        </xdr:cNvPr>
        <xdr:cNvCxnSpPr/>
      </xdr:nvCxnSpPr>
      <xdr:spPr>
        <a:xfrm flipH="1">
          <a:off x="335375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190500</xdr:colOff>
      <xdr:row>15</xdr:row>
      <xdr:rowOff>9525</xdr:rowOff>
    </xdr:from>
    <xdr:to>
      <xdr:col>61</xdr:col>
      <xdr:colOff>238125</xdr:colOff>
      <xdr:row>16</xdr:row>
      <xdr:rowOff>95250</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a:off x="355473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17</xdr:row>
      <xdr:rowOff>19050</xdr:rowOff>
    </xdr:from>
    <xdr:to>
      <xdr:col>38</xdr:col>
      <xdr:colOff>66676</xdr:colOff>
      <xdr:row>18</xdr:row>
      <xdr:rowOff>114300</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225647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152400</xdr:colOff>
      <xdr:row>17</xdr:row>
      <xdr:rowOff>9525</xdr:rowOff>
    </xdr:from>
    <xdr:to>
      <xdr:col>39</xdr:col>
      <xdr:colOff>238125</xdr:colOff>
      <xdr:row>18</xdr:row>
      <xdr:rowOff>114300</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a:off x="233172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17</xdr:row>
      <xdr:rowOff>19050</xdr:rowOff>
    </xdr:from>
    <xdr:to>
      <xdr:col>46</xdr:col>
      <xdr:colOff>66676</xdr:colOff>
      <xdr:row>18</xdr:row>
      <xdr:rowOff>114300</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441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152400</xdr:colOff>
      <xdr:row>17</xdr:row>
      <xdr:rowOff>9525</xdr:rowOff>
    </xdr:from>
    <xdr:to>
      <xdr:col>47</xdr:col>
      <xdr:colOff>238125</xdr:colOff>
      <xdr:row>18</xdr:row>
      <xdr:rowOff>114300</xdr:rowOff>
    </xdr:to>
    <xdr:cxnSp macro="">
      <xdr:nvCxnSpPr>
        <xdr:cNvPr id="41" name="Straight Arrow Connector 40">
          <a:extLst>
            <a:ext uri="{FF2B5EF4-FFF2-40B4-BE49-F238E27FC236}">
              <a16:creationId xmlns:a16="http://schemas.microsoft.com/office/drawing/2014/main" id="{00000000-0008-0000-0200-000029000000}"/>
            </a:ext>
          </a:extLst>
        </xdr:cNvPr>
        <xdr:cNvCxnSpPr/>
      </xdr:nvCxnSpPr>
      <xdr:spPr>
        <a:xfrm>
          <a:off x="28194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9525</xdr:colOff>
      <xdr:row>17</xdr:row>
      <xdr:rowOff>9525</xdr:rowOff>
    </xdr:from>
    <xdr:to>
      <xdr:col>54</xdr:col>
      <xdr:colOff>66676</xdr:colOff>
      <xdr:row>18</xdr:row>
      <xdr:rowOff>104775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323183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152400</xdr:colOff>
      <xdr:row>17</xdr:row>
      <xdr:rowOff>0</xdr:rowOff>
    </xdr:from>
    <xdr:to>
      <xdr:col>55</xdr:col>
      <xdr:colOff>238125</xdr:colOff>
      <xdr:row>18</xdr:row>
      <xdr:rowOff>104775</xdr:rowOff>
    </xdr:to>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a:off x="330708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9525</xdr:colOff>
      <xdr:row>17</xdr:row>
      <xdr:rowOff>9525</xdr:rowOff>
    </xdr:from>
    <xdr:to>
      <xdr:col>62</xdr:col>
      <xdr:colOff>66676</xdr:colOff>
      <xdr:row>18</xdr:row>
      <xdr:rowOff>104775</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37195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152400</xdr:colOff>
      <xdr:row>17</xdr:row>
      <xdr:rowOff>0</xdr:rowOff>
    </xdr:from>
    <xdr:to>
      <xdr:col>63</xdr:col>
      <xdr:colOff>238125</xdr:colOff>
      <xdr:row>18</xdr:row>
      <xdr:rowOff>104775</xdr:rowOff>
    </xdr:to>
    <xdr:cxnSp macro="">
      <xdr:nvCxnSpPr>
        <xdr:cNvPr id="45" name="Straight Arrow Connector 44">
          <a:extLst>
            <a:ext uri="{FF2B5EF4-FFF2-40B4-BE49-F238E27FC236}">
              <a16:creationId xmlns:a16="http://schemas.microsoft.com/office/drawing/2014/main" id="{00000000-0008-0000-0200-00002D000000}"/>
            </a:ext>
          </a:extLst>
        </xdr:cNvPr>
        <xdr:cNvCxnSpPr/>
      </xdr:nvCxnSpPr>
      <xdr:spPr>
        <a:xfrm>
          <a:off x="37947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104775</xdr:colOff>
      <xdr:row>19</xdr:row>
      <xdr:rowOff>0</xdr:rowOff>
    </xdr:from>
    <xdr:to>
      <xdr:col>36</xdr:col>
      <xdr:colOff>2</xdr:colOff>
      <xdr:row>19</xdr:row>
      <xdr:rowOff>180975</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214407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19</xdr:row>
      <xdr:rowOff>0</xdr:rowOff>
    </xdr:from>
    <xdr:to>
      <xdr:col>37</xdr:col>
      <xdr:colOff>133350</xdr:colOff>
      <xdr:row>19</xdr:row>
      <xdr:rowOff>190500</xdr:rowOff>
    </xdr:to>
    <xdr:cxnSp macro="">
      <xdr:nvCxnSpPr>
        <xdr:cNvPr id="47" name="Straight Arrow Connector 46">
          <a:extLst>
            <a:ext uri="{FF2B5EF4-FFF2-40B4-BE49-F238E27FC236}">
              <a16:creationId xmlns:a16="http://schemas.microsoft.com/office/drawing/2014/main" id="{00000000-0008-0000-0200-00002F000000}"/>
            </a:ext>
          </a:extLst>
        </xdr:cNvPr>
        <xdr:cNvCxnSpPr/>
      </xdr:nvCxnSpPr>
      <xdr:spPr>
        <a:xfrm>
          <a:off x="225647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19</xdr:row>
      <xdr:rowOff>0</xdr:rowOff>
    </xdr:from>
    <xdr:to>
      <xdr:col>39</xdr:col>
      <xdr:colOff>238127</xdr:colOff>
      <xdr:row>19</xdr:row>
      <xdr:rowOff>180975</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23869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19</xdr:row>
      <xdr:rowOff>0</xdr:rowOff>
    </xdr:from>
    <xdr:to>
      <xdr:col>41</xdr:col>
      <xdr:colOff>123825</xdr:colOff>
      <xdr:row>19</xdr:row>
      <xdr:rowOff>190500</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a:off x="24993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104775</xdr:colOff>
      <xdr:row>18</xdr:row>
      <xdr:rowOff>180975</xdr:rowOff>
    </xdr:from>
    <xdr:to>
      <xdr:col>44</xdr:col>
      <xdr:colOff>2</xdr:colOff>
      <xdr:row>19</xdr:row>
      <xdr:rowOff>161925</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63175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18</xdr:row>
      <xdr:rowOff>180975</xdr:rowOff>
    </xdr:from>
    <xdr:to>
      <xdr:col>45</xdr:col>
      <xdr:colOff>133350</xdr:colOff>
      <xdr:row>19</xdr:row>
      <xdr:rowOff>171450</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274415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104775</xdr:colOff>
      <xdr:row>18</xdr:row>
      <xdr:rowOff>190500</xdr:rowOff>
    </xdr:from>
    <xdr:to>
      <xdr:col>48</xdr:col>
      <xdr:colOff>2</xdr:colOff>
      <xdr:row>19</xdr:row>
      <xdr:rowOff>171450</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287559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9525</xdr:colOff>
      <xdr:row>18</xdr:row>
      <xdr:rowOff>190500</xdr:rowOff>
    </xdr:from>
    <xdr:to>
      <xdr:col>49</xdr:col>
      <xdr:colOff>133350</xdr:colOff>
      <xdr:row>19</xdr:row>
      <xdr:rowOff>180975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298799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95250</xdr:colOff>
      <xdr:row>19</xdr:row>
      <xdr:rowOff>0</xdr:rowOff>
    </xdr:from>
    <xdr:to>
      <xdr:col>51</xdr:col>
      <xdr:colOff>238127</xdr:colOff>
      <xdr:row>19</xdr:row>
      <xdr:rowOff>180975</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H="1">
          <a:off x="311848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19</xdr:row>
      <xdr:rowOff>0</xdr:rowOff>
    </xdr:from>
    <xdr:to>
      <xdr:col>53</xdr:col>
      <xdr:colOff>123825</xdr:colOff>
      <xdr:row>19</xdr:row>
      <xdr:rowOff>190500</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a:off x="323088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85725</xdr:colOff>
      <xdr:row>19</xdr:row>
      <xdr:rowOff>0</xdr:rowOff>
    </xdr:from>
    <xdr:to>
      <xdr:col>55</xdr:col>
      <xdr:colOff>228602</xdr:colOff>
      <xdr:row>19</xdr:row>
      <xdr:rowOff>180975</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H="1">
          <a:off x="336137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238125</xdr:colOff>
      <xdr:row>19</xdr:row>
      <xdr:rowOff>0</xdr:rowOff>
    </xdr:from>
    <xdr:to>
      <xdr:col>57</xdr:col>
      <xdr:colOff>114300</xdr:colOff>
      <xdr:row>19</xdr:row>
      <xdr:rowOff>190500</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a:off x="343757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114300</xdr:colOff>
      <xdr:row>19</xdr:row>
      <xdr:rowOff>0</xdr:rowOff>
    </xdr:from>
    <xdr:to>
      <xdr:col>60</xdr:col>
      <xdr:colOff>9527</xdr:colOff>
      <xdr:row>19</xdr:row>
      <xdr:rowOff>180975</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360807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19050</xdr:colOff>
      <xdr:row>19</xdr:row>
      <xdr:rowOff>0</xdr:rowOff>
    </xdr:from>
    <xdr:to>
      <xdr:col>61</xdr:col>
      <xdr:colOff>142875</xdr:colOff>
      <xdr:row>19</xdr:row>
      <xdr:rowOff>190500</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a:off x="372046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95250</xdr:colOff>
      <xdr:row>19</xdr:row>
      <xdr:rowOff>9525</xdr:rowOff>
    </xdr:from>
    <xdr:to>
      <xdr:col>63</xdr:col>
      <xdr:colOff>238127</xdr:colOff>
      <xdr:row>19</xdr:row>
      <xdr:rowOff>190500</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385000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19</xdr:row>
      <xdr:rowOff>9525</xdr:rowOff>
    </xdr:from>
    <xdr:to>
      <xdr:col>65</xdr:col>
      <xdr:colOff>123825</xdr:colOff>
      <xdr:row>20</xdr:row>
      <xdr:rowOff>0</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396240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10</xdr:row>
      <xdr:rowOff>66675</xdr:rowOff>
    </xdr:from>
    <xdr:to>
      <xdr:col>33</xdr:col>
      <xdr:colOff>228601</xdr:colOff>
      <xdr:row>12</xdr:row>
      <xdr:rowOff>76200</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11582400" y="1400175"/>
          <a:ext cx="8763001" cy="390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9525</xdr:colOff>
      <xdr:row>10</xdr:row>
      <xdr:rowOff>66675</xdr:rowOff>
    </xdr:from>
    <xdr:to>
      <xdr:col>49</xdr:col>
      <xdr:colOff>238125</xdr:colOff>
      <xdr:row>12</xdr:row>
      <xdr:rowOff>95250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12189619" y="1709738"/>
          <a:ext cx="5229225" cy="43338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24</xdr:row>
      <xdr:rowOff>42862</xdr:rowOff>
    </xdr:from>
    <xdr:to>
      <xdr:col>66</xdr:col>
      <xdr:colOff>4763</xdr:colOff>
      <xdr:row>38</xdr:row>
      <xdr:rowOff>119062</xdr:rowOff>
    </xdr:to>
    <xdr:graphicFrame macro="">
      <xdr:nvGraphicFramePr>
        <xdr:cNvPr id="67" name="Chart 66">
          <a:extLst>
            <a:ext uri="{FF2B5EF4-FFF2-40B4-BE49-F238E27FC236}">
              <a16:creationId xmlns:a16="http://schemas.microsoft.com/office/drawing/2014/main" id="{00000000-0008-0000-0200-00004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114299</xdr:colOff>
      <xdr:row>0</xdr:row>
      <xdr:rowOff>104775</xdr:rowOff>
    </xdr:from>
    <xdr:to>
      <xdr:col>13</xdr:col>
      <xdr:colOff>47624</xdr:colOff>
      <xdr:row>1</xdr:row>
      <xdr:rowOff>171450</xdr:rowOff>
    </xdr:to>
    <xdr:sp macro="[0]!Build_Max_Heap" textlink="">
      <xdr:nvSpPr>
        <xdr:cNvPr id="66" name="Rectangle: Rounded Corners 65">
          <a:extLst>
            <a:ext uri="{FF2B5EF4-FFF2-40B4-BE49-F238E27FC236}">
              <a16:creationId xmlns:a16="http://schemas.microsoft.com/office/drawing/2014/main" id="{990D56E0-B649-461B-AC53-C0BF4DAD16A9}"/>
            </a:ext>
          </a:extLst>
        </xdr:cNvPr>
        <xdr:cNvSpPr/>
      </xdr:nvSpPr>
      <xdr:spPr>
        <a:xfrm>
          <a:off x="2095499" y="104775"/>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Build Max Heap</a:t>
          </a:r>
          <a:endParaRPr lang="en-US" sz="1100" b="1"/>
        </a:p>
      </xdr:txBody>
    </xdr:sp>
    <xdr:clientData/>
  </xdr:twoCellAnchor>
  <xdr:twoCellAnchor>
    <xdr:from>
      <xdr:col>13</xdr:col>
      <xdr:colOff>238125</xdr:colOff>
      <xdr:row>0</xdr:row>
      <xdr:rowOff>114300</xdr:rowOff>
    </xdr:from>
    <xdr:to>
      <xdr:col>18</xdr:col>
      <xdr:colOff>171450</xdr:colOff>
      <xdr:row>1</xdr:row>
      <xdr:rowOff>180975</xdr:rowOff>
    </xdr:to>
    <xdr:sp macro="[0]!Run_Heap_Sort" textlink="">
      <xdr:nvSpPr>
        <xdr:cNvPr id="69" name="Rectangle: Rounded Corners 68">
          <a:extLst>
            <a:ext uri="{FF2B5EF4-FFF2-40B4-BE49-F238E27FC236}">
              <a16:creationId xmlns:a16="http://schemas.microsoft.com/office/drawing/2014/main" id="{F41D6DEA-35EB-45E0-9286-D2E41299066E}"/>
            </a:ext>
          </a:extLst>
        </xdr:cNvPr>
        <xdr:cNvSpPr/>
      </xdr:nvSpPr>
      <xdr:spPr>
        <a:xfrm>
          <a:off x="3457575" y="114300"/>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Run Heap Sort</a:t>
          </a:r>
          <a:endParaRPr lang="en-US" sz="1100" b="1"/>
        </a:p>
      </xdr:txBody>
    </xdr:sp>
    <xdr:clientData/>
  </xdr:twoCellAnchor>
  <xdr:twoCellAnchor>
    <xdr:from>
      <xdr:col>3</xdr:col>
      <xdr:colOff>0</xdr:colOff>
      <xdr:row>0</xdr:row>
      <xdr:rowOff>104775</xdr:rowOff>
    </xdr:from>
    <xdr:to>
      <xdr:col>7</xdr:col>
      <xdr:colOff>180975</xdr:colOff>
      <xdr:row>1</xdr:row>
      <xdr:rowOff>171450</xdr:rowOff>
    </xdr:to>
    <xdr:sp macro="[0]!New_Data" textlink="">
      <xdr:nvSpPr>
        <xdr:cNvPr id="76" name="Rectangle: Rounded Corners 75">
          <a:extLst>
            <a:ext uri="{FF2B5EF4-FFF2-40B4-BE49-F238E27FC236}">
              <a16:creationId xmlns:a16="http://schemas.microsoft.com/office/drawing/2014/main" id="{EFC9CD2D-0814-4517-BEE6-90E918F2427E}"/>
            </a:ext>
          </a:extLst>
        </xdr:cNvPr>
        <xdr:cNvSpPr/>
      </xdr:nvSpPr>
      <xdr:spPr>
        <a:xfrm>
          <a:off x="742950" y="104775"/>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Get New Data</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386-8DF5-4D1E-BE16-C911E71D19DF}">
  <sheetPr codeName="Sheet3"/>
  <dimension ref="A3:EF42"/>
  <sheetViews>
    <sheetView showGridLines="0" tabSelected="1" zoomScale="90" zoomScaleNormal="90" workbookViewId="0">
      <selection activeCell="E11" sqref="E11"/>
    </sheetView>
  </sheetViews>
  <sheetFormatPr defaultRowHeight="15" x14ac:dyDescent="0.25"/>
  <cols>
    <col min="1" max="123" width="3.7109375" style="1" customWidth="1"/>
    <col min="124" max="136" width="9.140625" style="1"/>
  </cols>
  <sheetData>
    <row r="3" spans="2:66" ht="15.75" thickBot="1" x14ac:dyDescent="0.3"/>
    <row r="4" spans="2:66" ht="15.75" thickBot="1" x14ac:dyDescent="0.3">
      <c r="B4" s="3" t="s">
        <v>1</v>
      </c>
      <c r="D4" s="4">
        <v>0</v>
      </c>
      <c r="E4" s="4">
        <v>1</v>
      </c>
      <c r="F4" s="4">
        <v>2</v>
      </c>
      <c r="G4" s="4">
        <v>3</v>
      </c>
      <c r="H4" s="4">
        <v>4</v>
      </c>
      <c r="I4" s="4">
        <v>5</v>
      </c>
      <c r="J4" s="4">
        <v>6</v>
      </c>
      <c r="K4" s="4">
        <v>7</v>
      </c>
      <c r="L4" s="4">
        <v>8</v>
      </c>
      <c r="M4" s="4">
        <v>9</v>
      </c>
      <c r="N4" s="4">
        <v>10</v>
      </c>
      <c r="O4" s="4">
        <v>11</v>
      </c>
      <c r="P4" s="4">
        <v>12</v>
      </c>
      <c r="Q4" s="4">
        <v>13</v>
      </c>
      <c r="R4" s="4">
        <v>14</v>
      </c>
      <c r="S4" s="4">
        <v>15</v>
      </c>
      <c r="T4" s="4">
        <v>16</v>
      </c>
      <c r="U4" s="4">
        <v>17</v>
      </c>
      <c r="V4" s="4">
        <v>18</v>
      </c>
      <c r="W4" s="4">
        <v>19</v>
      </c>
      <c r="X4" s="4">
        <v>20</v>
      </c>
      <c r="Y4" s="4">
        <v>21</v>
      </c>
      <c r="Z4" s="4">
        <v>22</v>
      </c>
      <c r="AA4" s="4">
        <v>23</v>
      </c>
      <c r="AB4" s="4">
        <v>24</v>
      </c>
      <c r="AC4" s="4">
        <v>25</v>
      </c>
      <c r="AD4" s="4">
        <v>26</v>
      </c>
      <c r="AE4" s="4">
        <v>27</v>
      </c>
      <c r="AF4" s="4">
        <v>28</v>
      </c>
      <c r="AG4" s="4">
        <v>29</v>
      </c>
      <c r="AH4" s="4">
        <v>30</v>
      </c>
      <c r="AI4" s="4">
        <v>31</v>
      </c>
      <c r="AJ4" s="4">
        <v>32</v>
      </c>
      <c r="AK4" s="4">
        <v>33</v>
      </c>
      <c r="AL4" s="4">
        <v>34</v>
      </c>
      <c r="AM4" s="4">
        <v>35</v>
      </c>
      <c r="AN4" s="4">
        <v>36</v>
      </c>
      <c r="AO4" s="4">
        <v>37</v>
      </c>
      <c r="AP4" s="4">
        <v>38</v>
      </c>
      <c r="AQ4" s="4">
        <v>39</v>
      </c>
      <c r="AR4" s="4">
        <v>40</v>
      </c>
      <c r="AS4" s="4">
        <v>41</v>
      </c>
      <c r="AT4" s="4">
        <v>42</v>
      </c>
      <c r="AU4" s="4">
        <v>43</v>
      </c>
      <c r="AV4" s="4">
        <v>44</v>
      </c>
      <c r="AW4" s="4">
        <v>45</v>
      </c>
      <c r="AX4" s="4">
        <v>46</v>
      </c>
      <c r="AY4" s="4">
        <v>47</v>
      </c>
      <c r="AZ4" s="4">
        <v>48</v>
      </c>
      <c r="BA4" s="4">
        <v>49</v>
      </c>
      <c r="BB4" s="4">
        <v>50</v>
      </c>
      <c r="BC4" s="4">
        <v>51</v>
      </c>
      <c r="BD4" s="4">
        <v>52</v>
      </c>
      <c r="BE4" s="4">
        <v>53</v>
      </c>
      <c r="BF4" s="4">
        <v>54</v>
      </c>
      <c r="BG4" s="4">
        <v>55</v>
      </c>
      <c r="BH4" s="4">
        <v>56</v>
      </c>
      <c r="BI4" s="4">
        <v>57</v>
      </c>
      <c r="BJ4" s="4">
        <v>58</v>
      </c>
      <c r="BK4" s="4">
        <v>59</v>
      </c>
      <c r="BL4" s="4">
        <v>60</v>
      </c>
      <c r="BM4" s="4">
        <v>61</v>
      </c>
      <c r="BN4" s="7">
        <v>62</v>
      </c>
    </row>
    <row r="5" spans="2:66" x14ac:dyDescent="0.25">
      <c r="B5" s="3" t="s">
        <v>0</v>
      </c>
      <c r="D5" s="2">
        <v>0</v>
      </c>
      <c r="E5" s="2">
        <v>1</v>
      </c>
      <c r="F5" s="2">
        <v>2</v>
      </c>
      <c r="G5" s="2">
        <v>3</v>
      </c>
      <c r="H5" s="2">
        <v>4</v>
      </c>
      <c r="I5" s="2">
        <v>5</v>
      </c>
      <c r="J5" s="2">
        <v>6</v>
      </c>
      <c r="K5" s="2">
        <v>7</v>
      </c>
      <c r="L5" s="2">
        <v>8</v>
      </c>
      <c r="M5" s="2">
        <v>9</v>
      </c>
      <c r="N5" s="2">
        <v>10</v>
      </c>
      <c r="O5" s="2">
        <v>11</v>
      </c>
      <c r="P5" s="2">
        <v>12</v>
      </c>
      <c r="Q5" s="2">
        <v>13</v>
      </c>
      <c r="R5" s="2">
        <v>14</v>
      </c>
      <c r="S5" s="2">
        <v>15</v>
      </c>
      <c r="T5" s="2">
        <v>16</v>
      </c>
      <c r="U5" s="2">
        <v>17</v>
      </c>
      <c r="V5" s="2">
        <v>18</v>
      </c>
      <c r="W5" s="2">
        <v>19</v>
      </c>
      <c r="X5" s="2">
        <v>20</v>
      </c>
      <c r="Y5" s="2">
        <v>21</v>
      </c>
      <c r="Z5" s="2">
        <v>22</v>
      </c>
      <c r="AA5" s="2">
        <v>23</v>
      </c>
      <c r="AB5" s="2">
        <v>24</v>
      </c>
      <c r="AC5" s="2">
        <v>25</v>
      </c>
      <c r="AD5" s="2">
        <v>26</v>
      </c>
      <c r="AE5" s="2">
        <v>27</v>
      </c>
      <c r="AF5" s="2">
        <v>28</v>
      </c>
      <c r="AG5" s="2">
        <v>29</v>
      </c>
      <c r="AH5" s="2">
        <v>30</v>
      </c>
      <c r="AI5" s="2">
        <v>31</v>
      </c>
      <c r="AJ5" s="2">
        <v>32</v>
      </c>
      <c r="AK5" s="2">
        <v>33</v>
      </c>
      <c r="AL5" s="2">
        <v>34</v>
      </c>
      <c r="AM5" s="2">
        <v>35</v>
      </c>
      <c r="AN5" s="2">
        <v>36</v>
      </c>
      <c r="AO5" s="2">
        <v>37</v>
      </c>
      <c r="AP5" s="2">
        <v>38</v>
      </c>
      <c r="AQ5" s="2">
        <v>39</v>
      </c>
      <c r="AR5" s="2">
        <v>40</v>
      </c>
      <c r="AS5" s="2">
        <v>41</v>
      </c>
      <c r="AT5" s="2">
        <v>42</v>
      </c>
      <c r="AU5" s="2">
        <v>43</v>
      </c>
      <c r="AV5" s="2">
        <v>44</v>
      </c>
      <c r="AW5" s="2">
        <v>45</v>
      </c>
      <c r="AX5" s="2">
        <v>46</v>
      </c>
      <c r="AY5" s="2">
        <v>47</v>
      </c>
      <c r="AZ5" s="2">
        <v>48</v>
      </c>
      <c r="BA5" s="2">
        <v>49</v>
      </c>
      <c r="BB5" s="2">
        <v>50</v>
      </c>
      <c r="BC5" s="2">
        <v>51</v>
      </c>
      <c r="BD5" s="2">
        <v>52</v>
      </c>
      <c r="BE5" s="2">
        <v>53</v>
      </c>
      <c r="BF5" s="2">
        <v>54</v>
      </c>
      <c r="BG5" s="2">
        <v>55</v>
      </c>
      <c r="BH5" s="2">
        <v>56</v>
      </c>
      <c r="BI5" s="2">
        <v>57</v>
      </c>
      <c r="BJ5" s="2">
        <v>58</v>
      </c>
      <c r="BK5" s="2">
        <v>59</v>
      </c>
      <c r="BL5" s="2">
        <v>60</v>
      </c>
      <c r="BM5" s="2">
        <v>61</v>
      </c>
      <c r="BN5" s="2">
        <v>62</v>
      </c>
    </row>
    <row r="6" spans="2:66" x14ac:dyDescent="0.25">
      <c r="B6" s="3"/>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row>
    <row r="7" spans="2:66" x14ac:dyDescent="0.25">
      <c r="B7" s="3" t="s">
        <v>2</v>
      </c>
      <c r="H7" s="1">
        <v>0</v>
      </c>
    </row>
    <row r="8" spans="2:66" x14ac:dyDescent="0.25">
      <c r="B8" s="3" t="s">
        <v>3</v>
      </c>
      <c r="H8" s="1">
        <v>1</v>
      </c>
    </row>
    <row r="9" spans="2:66" x14ac:dyDescent="0.25">
      <c r="B9" s="3" t="s">
        <v>4</v>
      </c>
      <c r="H9" s="1">
        <v>0</v>
      </c>
    </row>
    <row r="10" spans="2:66" ht="15.75" thickBot="1" x14ac:dyDescent="0.3">
      <c r="B10" s="3"/>
      <c r="AI10" s="6">
        <v>0</v>
      </c>
    </row>
    <row r="11" spans="2:66" ht="15.75" thickBot="1" x14ac:dyDescent="0.3">
      <c r="AI11" s="5">
        <f>hs_0</f>
        <v>0</v>
      </c>
    </row>
    <row r="12" spans="2:66" ht="15.75" thickBot="1" x14ac:dyDescent="0.3">
      <c r="S12" s="6">
        <v>1</v>
      </c>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6">
        <v>2</v>
      </c>
    </row>
    <row r="13" spans="2:66" ht="15.75" thickBot="1" x14ac:dyDescent="0.3">
      <c r="S13" s="5">
        <f>hs_1</f>
        <v>1</v>
      </c>
      <c r="AY13" s="5">
        <f>hs_2</f>
        <v>2</v>
      </c>
    </row>
    <row r="14" spans="2:66" ht="15.75" thickBot="1" x14ac:dyDescent="0.3">
      <c r="K14" s="6">
        <v>3</v>
      </c>
      <c r="L14" s="2"/>
      <c r="M14" s="2"/>
      <c r="N14" s="2"/>
      <c r="O14" s="2"/>
      <c r="P14" s="2"/>
      <c r="Q14" s="2"/>
      <c r="R14" s="2"/>
      <c r="S14" s="2"/>
      <c r="T14" s="2"/>
      <c r="U14" s="2"/>
      <c r="V14" s="2"/>
      <c r="W14" s="2"/>
      <c r="X14" s="2"/>
      <c r="Y14" s="2"/>
      <c r="Z14" s="2"/>
      <c r="AA14" s="6">
        <v>4</v>
      </c>
      <c r="AB14" s="2"/>
      <c r="AC14" s="2"/>
      <c r="AD14" s="2"/>
      <c r="AE14" s="2"/>
      <c r="AF14" s="2"/>
      <c r="AG14" s="2"/>
      <c r="AH14" s="2"/>
      <c r="AI14" s="2"/>
      <c r="AJ14" s="2"/>
      <c r="AK14" s="2"/>
      <c r="AL14" s="2"/>
      <c r="AM14" s="2"/>
      <c r="AN14" s="2"/>
      <c r="AO14" s="2"/>
      <c r="AP14" s="2"/>
      <c r="AQ14" s="6">
        <v>5</v>
      </c>
      <c r="AR14" s="2"/>
      <c r="AS14" s="2"/>
      <c r="AT14" s="2"/>
      <c r="AU14" s="2"/>
      <c r="AV14" s="2"/>
      <c r="AW14" s="2"/>
      <c r="AX14" s="2"/>
      <c r="AY14" s="2"/>
      <c r="AZ14" s="2"/>
      <c r="BA14" s="2"/>
      <c r="BB14" s="2"/>
      <c r="BC14" s="2"/>
      <c r="BD14" s="2"/>
      <c r="BE14" s="2"/>
      <c r="BF14" s="2"/>
      <c r="BG14" s="6">
        <v>6</v>
      </c>
    </row>
    <row r="15" spans="2:66" ht="15.75" thickBot="1" x14ac:dyDescent="0.3">
      <c r="K15" s="5">
        <f>hs_3</f>
        <v>3</v>
      </c>
      <c r="AA15" s="5">
        <f>hs_4</f>
        <v>4</v>
      </c>
      <c r="AQ15" s="5">
        <f>hs_5</f>
        <v>5</v>
      </c>
      <c r="BG15" s="5">
        <f>hs_6</f>
        <v>6</v>
      </c>
    </row>
    <row r="16" spans="2:66" ht="15.75" thickBot="1" x14ac:dyDescent="0.3">
      <c r="G16" s="6">
        <v>7</v>
      </c>
      <c r="H16" s="2"/>
      <c r="I16" s="2"/>
      <c r="J16" s="2"/>
      <c r="K16" s="2"/>
      <c r="L16" s="2"/>
      <c r="M16" s="2"/>
      <c r="N16" s="2"/>
      <c r="O16" s="6">
        <v>8</v>
      </c>
      <c r="P16" s="2"/>
      <c r="Q16" s="2"/>
      <c r="R16" s="2"/>
      <c r="S16" s="2"/>
      <c r="T16" s="2"/>
      <c r="U16" s="2"/>
      <c r="V16" s="2"/>
      <c r="W16" s="6">
        <v>9</v>
      </c>
      <c r="X16" s="2"/>
      <c r="Y16" s="2"/>
      <c r="Z16" s="2"/>
      <c r="AA16" s="2"/>
      <c r="AB16" s="2"/>
      <c r="AC16" s="2"/>
      <c r="AD16" s="2"/>
      <c r="AE16" s="6">
        <v>10</v>
      </c>
      <c r="AF16" s="2"/>
      <c r="AG16" s="2"/>
      <c r="AH16" s="2"/>
      <c r="AI16" s="2"/>
      <c r="AJ16" s="2"/>
      <c r="AK16" s="2"/>
      <c r="AL16" s="2"/>
      <c r="AM16" s="6">
        <v>11</v>
      </c>
      <c r="AN16" s="2"/>
      <c r="AO16" s="2"/>
      <c r="AP16" s="2"/>
      <c r="AQ16" s="2"/>
      <c r="AR16" s="2"/>
      <c r="AS16" s="2"/>
      <c r="AT16" s="2"/>
      <c r="AU16" s="6">
        <v>12</v>
      </c>
      <c r="AV16" s="2"/>
      <c r="AW16" s="2"/>
      <c r="AX16" s="2"/>
      <c r="AY16" s="2"/>
      <c r="AZ16" s="2"/>
      <c r="BA16" s="2"/>
      <c r="BB16" s="2"/>
      <c r="BC16" s="6">
        <v>13</v>
      </c>
      <c r="BD16" s="2"/>
      <c r="BE16" s="2"/>
      <c r="BF16" s="2"/>
      <c r="BG16" s="2"/>
      <c r="BH16" s="2"/>
      <c r="BI16" s="2"/>
      <c r="BJ16" s="2"/>
      <c r="BK16" s="6">
        <v>14</v>
      </c>
    </row>
    <row r="17" spans="4:66" ht="15.75" thickBot="1" x14ac:dyDescent="0.3">
      <c r="G17" s="5">
        <f>hs_7</f>
        <v>7</v>
      </c>
      <c r="O17" s="5">
        <f>hs_8</f>
        <v>8</v>
      </c>
      <c r="W17" s="5">
        <f>hs_9</f>
        <v>9</v>
      </c>
      <c r="AE17" s="5">
        <f>hs_10</f>
        <v>10</v>
      </c>
      <c r="AM17" s="5">
        <f>hs_11</f>
        <v>11</v>
      </c>
      <c r="AU17" s="5">
        <f>hs_12</f>
        <v>12</v>
      </c>
      <c r="BC17" s="5">
        <f>hs_13</f>
        <v>13</v>
      </c>
      <c r="BK17" s="5">
        <f>hs_14</f>
        <v>14</v>
      </c>
    </row>
    <row r="18" spans="4:66" ht="15.75" thickBot="1" x14ac:dyDescent="0.3">
      <c r="E18" s="6">
        <v>15</v>
      </c>
      <c r="F18" s="2"/>
      <c r="G18" s="2"/>
      <c r="H18" s="2"/>
      <c r="I18" s="6">
        <v>16</v>
      </c>
      <c r="J18" s="2"/>
      <c r="K18" s="2"/>
      <c r="L18" s="2"/>
      <c r="M18" s="6">
        <v>17</v>
      </c>
      <c r="N18" s="2"/>
      <c r="O18" s="2"/>
      <c r="P18" s="2"/>
      <c r="Q18" s="6">
        <v>18</v>
      </c>
      <c r="R18" s="2"/>
      <c r="S18" s="2"/>
      <c r="T18" s="2"/>
      <c r="U18" s="6">
        <v>19</v>
      </c>
      <c r="V18" s="2"/>
      <c r="W18" s="2"/>
      <c r="X18" s="2"/>
      <c r="Y18" s="6">
        <v>20</v>
      </c>
      <c r="Z18" s="2"/>
      <c r="AA18" s="2"/>
      <c r="AB18" s="2"/>
      <c r="AC18" s="6">
        <v>21</v>
      </c>
      <c r="AD18" s="2"/>
      <c r="AE18" s="2"/>
      <c r="AF18" s="2"/>
      <c r="AG18" s="6">
        <v>22</v>
      </c>
      <c r="AH18" s="2"/>
      <c r="AI18" s="2"/>
      <c r="AJ18" s="2"/>
      <c r="AK18" s="6">
        <v>23</v>
      </c>
      <c r="AL18" s="2"/>
      <c r="AM18" s="2"/>
      <c r="AN18" s="2"/>
      <c r="AO18" s="6">
        <v>24</v>
      </c>
      <c r="AP18" s="2"/>
      <c r="AQ18" s="2"/>
      <c r="AR18" s="2"/>
      <c r="AS18" s="6">
        <v>25</v>
      </c>
      <c r="AT18" s="2"/>
      <c r="AU18" s="2"/>
      <c r="AV18" s="2"/>
      <c r="AW18" s="6">
        <v>26</v>
      </c>
      <c r="AX18" s="2"/>
      <c r="AY18" s="2"/>
      <c r="AZ18" s="2"/>
      <c r="BA18" s="6">
        <v>27</v>
      </c>
      <c r="BB18" s="2"/>
      <c r="BC18" s="2"/>
      <c r="BD18" s="2"/>
      <c r="BE18" s="6">
        <v>28</v>
      </c>
      <c r="BF18" s="2"/>
      <c r="BG18" s="2"/>
      <c r="BH18" s="2"/>
      <c r="BI18" s="6">
        <v>29</v>
      </c>
      <c r="BJ18" s="2"/>
      <c r="BK18" s="2"/>
      <c r="BL18" s="2"/>
      <c r="BM18" s="6">
        <v>30</v>
      </c>
    </row>
    <row r="19" spans="4:66" ht="15.75" thickBot="1" x14ac:dyDescent="0.3">
      <c r="E19" s="5">
        <f>hs_15</f>
        <v>15</v>
      </c>
      <c r="I19" s="5">
        <f>hs_16</f>
        <v>16</v>
      </c>
      <c r="M19" s="5">
        <f>hs_17</f>
        <v>17</v>
      </c>
      <c r="Q19" s="5">
        <f>hs_18</f>
        <v>18</v>
      </c>
      <c r="U19" s="5">
        <f>hs_19</f>
        <v>19</v>
      </c>
      <c r="Y19" s="5">
        <f>hs_20</f>
        <v>20</v>
      </c>
      <c r="AC19" s="5">
        <f>hs_21</f>
        <v>21</v>
      </c>
      <c r="AG19" s="5">
        <f>hs_22</f>
        <v>22</v>
      </c>
      <c r="AK19" s="5">
        <f>hs_23</f>
        <v>23</v>
      </c>
      <c r="AO19" s="5">
        <f>hs_24</f>
        <v>24</v>
      </c>
      <c r="AS19" s="5">
        <f>hs_25</f>
        <v>25</v>
      </c>
      <c r="AW19" s="5">
        <f>hs_26</f>
        <v>26</v>
      </c>
      <c r="BA19" s="5">
        <f>hs_27</f>
        <v>27</v>
      </c>
      <c r="BE19" s="5">
        <f>hs_28</f>
        <v>28</v>
      </c>
      <c r="BI19" s="5">
        <f>hs_29</f>
        <v>29</v>
      </c>
      <c r="BM19" s="5">
        <f>hs_30</f>
        <v>30</v>
      </c>
    </row>
    <row r="20" spans="4:66" ht="15.75" thickBot="1" x14ac:dyDescent="0.3"/>
    <row r="21" spans="4:66" ht="15.75" thickBot="1" x14ac:dyDescent="0.3">
      <c r="D21" s="5">
        <f>hs_31</f>
        <v>31</v>
      </c>
      <c r="F21" s="5">
        <f>hs_32</f>
        <v>32</v>
      </c>
      <c r="H21" s="5">
        <f>hs_33</f>
        <v>33</v>
      </c>
      <c r="J21" s="5">
        <f>hs_34</f>
        <v>34</v>
      </c>
      <c r="L21" s="5">
        <f>hs_35</f>
        <v>35</v>
      </c>
      <c r="N21" s="5">
        <f>hs_36</f>
        <v>36</v>
      </c>
      <c r="P21" s="5">
        <f>hs_37</f>
        <v>37</v>
      </c>
      <c r="R21" s="5">
        <f>hs_38</f>
        <v>38</v>
      </c>
      <c r="T21" s="5">
        <f>hs_39</f>
        <v>39</v>
      </c>
      <c r="V21" s="5">
        <f>hs_40</f>
        <v>40</v>
      </c>
      <c r="X21" s="5">
        <f>hs_41</f>
        <v>41</v>
      </c>
      <c r="Z21" s="5">
        <f>hs_42</f>
        <v>42</v>
      </c>
      <c r="AB21" s="5">
        <f>hs_43</f>
        <v>43</v>
      </c>
      <c r="AD21" s="5">
        <f>hs_44</f>
        <v>44</v>
      </c>
      <c r="AF21" s="5">
        <f>hs_45</f>
        <v>45</v>
      </c>
      <c r="AH21" s="5">
        <f>hs_46</f>
        <v>46</v>
      </c>
      <c r="AJ21" s="5">
        <f>hs_47</f>
        <v>47</v>
      </c>
      <c r="AL21" s="5">
        <f>hs_48</f>
        <v>48</v>
      </c>
      <c r="AN21" s="5">
        <f>hs_49</f>
        <v>49</v>
      </c>
      <c r="AP21" s="5">
        <f>hs_50</f>
        <v>50</v>
      </c>
      <c r="AR21" s="5">
        <f>hs_51</f>
        <v>51</v>
      </c>
      <c r="AT21" s="5">
        <f>hs_52</f>
        <v>52</v>
      </c>
      <c r="AV21" s="5">
        <f>hs_53</f>
        <v>53</v>
      </c>
      <c r="AX21" s="5">
        <f>hs_54</f>
        <v>54</v>
      </c>
      <c r="AZ21" s="5">
        <f>hs_55</f>
        <v>55</v>
      </c>
      <c r="BB21" s="5">
        <f>hs_56</f>
        <v>56</v>
      </c>
      <c r="BD21" s="5">
        <f>hs_57</f>
        <v>57</v>
      </c>
      <c r="BF21" s="5">
        <f>hs_58</f>
        <v>58</v>
      </c>
      <c r="BH21" s="5">
        <f>hs_59</f>
        <v>59</v>
      </c>
      <c r="BJ21" s="5">
        <f>hs_60</f>
        <v>60</v>
      </c>
      <c r="BL21" s="5">
        <f>hs_61</f>
        <v>61</v>
      </c>
      <c r="BN21" s="5">
        <f>hs_62</f>
        <v>62</v>
      </c>
    </row>
    <row r="22" spans="4:66" x14ac:dyDescent="0.25">
      <c r="D22" s="6">
        <v>31</v>
      </c>
      <c r="E22" s="2"/>
      <c r="F22" s="6">
        <v>32</v>
      </c>
      <c r="G22" s="2"/>
      <c r="H22" s="6">
        <v>33</v>
      </c>
      <c r="I22" s="2"/>
      <c r="J22" s="6">
        <v>34</v>
      </c>
      <c r="K22" s="2"/>
      <c r="L22" s="6">
        <v>35</v>
      </c>
      <c r="M22" s="2"/>
      <c r="N22" s="6">
        <v>36</v>
      </c>
      <c r="O22" s="2"/>
      <c r="P22" s="6">
        <v>37</v>
      </c>
      <c r="Q22" s="2"/>
      <c r="R22" s="6">
        <v>38</v>
      </c>
      <c r="S22" s="2"/>
      <c r="T22" s="6">
        <v>39</v>
      </c>
      <c r="U22" s="2"/>
      <c r="V22" s="6">
        <v>40</v>
      </c>
      <c r="W22" s="2"/>
      <c r="X22" s="6">
        <v>41</v>
      </c>
      <c r="Y22" s="2"/>
      <c r="Z22" s="6">
        <v>42</v>
      </c>
      <c r="AA22" s="2"/>
      <c r="AB22" s="6">
        <v>43</v>
      </c>
      <c r="AC22" s="2"/>
      <c r="AD22" s="6">
        <v>44</v>
      </c>
      <c r="AE22" s="2"/>
      <c r="AF22" s="6">
        <v>45</v>
      </c>
      <c r="AG22" s="2"/>
      <c r="AH22" s="6">
        <v>46</v>
      </c>
      <c r="AI22" s="2"/>
      <c r="AJ22" s="6">
        <v>47</v>
      </c>
      <c r="AK22" s="2"/>
      <c r="AL22" s="6">
        <v>48</v>
      </c>
      <c r="AM22" s="2"/>
      <c r="AN22" s="6">
        <v>49</v>
      </c>
      <c r="AO22" s="2"/>
      <c r="AP22" s="6">
        <v>50</v>
      </c>
      <c r="AQ22" s="2"/>
      <c r="AR22" s="6">
        <v>51</v>
      </c>
      <c r="AS22" s="2"/>
      <c r="AT22" s="6">
        <v>52</v>
      </c>
      <c r="AU22" s="2"/>
      <c r="AV22" s="6">
        <v>53</v>
      </c>
      <c r="AW22" s="2"/>
      <c r="AX22" s="6">
        <v>54</v>
      </c>
      <c r="AY22" s="2"/>
      <c r="AZ22" s="6">
        <v>55</v>
      </c>
      <c r="BA22" s="2"/>
      <c r="BB22" s="6">
        <v>56</v>
      </c>
      <c r="BC22" s="2"/>
      <c r="BD22" s="6">
        <v>57</v>
      </c>
      <c r="BE22" s="2"/>
      <c r="BF22" s="6">
        <v>58</v>
      </c>
      <c r="BG22" s="2"/>
      <c r="BH22" s="6">
        <v>59</v>
      </c>
      <c r="BI22" s="2"/>
      <c r="BJ22" s="6">
        <v>60</v>
      </c>
      <c r="BK22" s="2"/>
      <c r="BL22" s="6">
        <v>61</v>
      </c>
      <c r="BM22" s="2"/>
      <c r="BN22" s="6">
        <v>62</v>
      </c>
    </row>
    <row r="40" spans="4:136" x14ac:dyDescent="0.25">
      <c r="EF40"/>
    </row>
    <row r="41" spans="4:136" x14ac:dyDescent="0.25">
      <c r="EF41"/>
    </row>
    <row r="42" spans="4:136" x14ac:dyDescent="0.25">
      <c r="D42" s="8"/>
      <c r="H42" s="8"/>
      <c r="L42" s="8"/>
      <c r="P42" s="8"/>
      <c r="T42" s="8"/>
      <c r="X42" s="8"/>
      <c r="AB42" s="8"/>
      <c r="AF42" s="8"/>
      <c r="AJ42" s="8"/>
      <c r="AN42" s="8"/>
      <c r="AR42" s="8"/>
      <c r="AV42" s="8"/>
      <c r="AZ42" s="8"/>
      <c r="BD42" s="8"/>
      <c r="BH42" s="8"/>
      <c r="BL42" s="8"/>
    </row>
  </sheetData>
  <conditionalFormatting sqref="G17 AI11 S13 AY13 BG15 AQ15 AA15 K15 O17 W17 AE17 AM17 AU17 BC17 BK17 E19 I19 M19 Q19 U19 Y19 AC19 AG19 AK19 AO19 AS19 AW19 BA19 BE19 BI19 BM19 D21 F21 H21 J21 L21 N21 P21 R21 T21 V21 X21 Z21 AB21 AD21 AF21 AH21 AJ21 AL21 AN21 AP21 AR21 AT21 AV21 AX21 AZ21 BB21 BD21 BF21 BH21 BJ21 BL21 BN21">
    <cfRule type="cellIs" dxfId="2" priority="384" operator="equal">
      <formula>$H$8</formula>
    </cfRule>
    <cfRule type="cellIs" dxfId="1" priority="385" operator="equal">
      <formula>$H$7</formula>
    </cfRule>
  </conditionalFormatting>
  <conditionalFormatting sqref="D4:BN4">
    <cfRule type="cellIs" dxfId="0" priority="1" operator="greaterThanOrEqual">
      <formula>$H$9</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68</vt:i4>
      </vt:variant>
    </vt:vector>
  </HeadingPairs>
  <TitlesOfParts>
    <vt:vector size="69" baseType="lpstr">
      <vt:lpstr>Heap Sort</vt:lpstr>
      <vt:lpstr>hs_0</vt:lpstr>
      <vt:lpstr>hs_1</vt:lpstr>
      <vt:lpstr>hs_10</vt:lpstr>
      <vt:lpstr>hs_11</vt:lpstr>
      <vt:lpstr>hs_12</vt:lpstr>
      <vt:lpstr>hs_13</vt:lpstr>
      <vt:lpstr>hs_14</vt:lpstr>
      <vt:lpstr>hs_15</vt:lpstr>
      <vt:lpstr>hs_16</vt:lpstr>
      <vt:lpstr>hs_17</vt:lpstr>
      <vt:lpstr>hs_18</vt:lpstr>
      <vt:lpstr>hs_19</vt:lpstr>
      <vt:lpstr>hs_2</vt:lpstr>
      <vt:lpstr>hs_20</vt:lpstr>
      <vt:lpstr>hs_21</vt:lpstr>
      <vt:lpstr>hs_22</vt:lpstr>
      <vt:lpstr>hs_23</vt:lpstr>
      <vt:lpstr>hs_24</vt:lpstr>
      <vt:lpstr>hs_25</vt:lpstr>
      <vt:lpstr>hs_26</vt:lpstr>
      <vt:lpstr>hs_27</vt:lpstr>
      <vt:lpstr>hs_28</vt:lpstr>
      <vt:lpstr>hs_29</vt:lpstr>
      <vt:lpstr>hs_3</vt:lpstr>
      <vt:lpstr>hs_30</vt:lpstr>
      <vt:lpstr>hs_31</vt:lpstr>
      <vt:lpstr>hs_32</vt:lpstr>
      <vt:lpstr>hs_33</vt:lpstr>
      <vt:lpstr>hs_34</vt:lpstr>
      <vt:lpstr>hs_35</vt:lpstr>
      <vt:lpstr>hs_36</vt:lpstr>
      <vt:lpstr>hs_37</vt:lpstr>
      <vt:lpstr>hs_38</vt:lpstr>
      <vt:lpstr>hs_39</vt:lpstr>
      <vt:lpstr>hs_4</vt:lpstr>
      <vt:lpstr>hs_40</vt:lpstr>
      <vt:lpstr>hs_41</vt:lpstr>
      <vt:lpstr>hs_42</vt:lpstr>
      <vt:lpstr>hs_43</vt:lpstr>
      <vt:lpstr>hs_44</vt:lpstr>
      <vt:lpstr>hs_45</vt:lpstr>
      <vt:lpstr>hs_46</vt:lpstr>
      <vt:lpstr>hs_47</vt:lpstr>
      <vt:lpstr>hs_48</vt:lpstr>
      <vt:lpstr>hs_49</vt:lpstr>
      <vt:lpstr>hs_5</vt:lpstr>
      <vt:lpstr>hs_50</vt:lpstr>
      <vt:lpstr>hs_51</vt:lpstr>
      <vt:lpstr>hs_52</vt:lpstr>
      <vt:lpstr>hs_53</vt:lpstr>
      <vt:lpstr>hs_54</vt:lpstr>
      <vt:lpstr>hs_55</vt:lpstr>
      <vt:lpstr>hs_56</vt:lpstr>
      <vt:lpstr>hs_57</vt:lpstr>
      <vt:lpstr>hs_58</vt:lpstr>
      <vt:lpstr>hs_59</vt:lpstr>
      <vt:lpstr>hs_6</vt:lpstr>
      <vt:lpstr>hs_60</vt:lpstr>
      <vt:lpstr>hs_61</vt:lpstr>
      <vt:lpstr>hs_62</vt:lpstr>
      <vt:lpstr>hs_63</vt:lpstr>
      <vt:lpstr>hs_7</vt:lpstr>
      <vt:lpstr>hs_8</vt:lpstr>
      <vt:lpstr>hs_9</vt:lpstr>
      <vt:lpstr>hs_array</vt:lpstr>
      <vt:lpstr>hs_child</vt:lpstr>
      <vt:lpstr>hs_root</vt:lpstr>
      <vt:lpstr>hs_sorted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tcregar</dc:creator>
  <cp:lastModifiedBy>tcregar</cp:lastModifiedBy>
  <dcterms:created xsi:type="dcterms:W3CDTF">2020-08-02T19:29:59Z</dcterms:created>
  <dcterms:modified xsi:type="dcterms:W3CDTF">2020-08-17T01:04:26Z</dcterms:modified>
</cp:coreProperties>
</file>