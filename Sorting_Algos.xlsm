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3AF18BBA-A79E-44C5-9C43-F1C9810026F6}" xr6:coauthVersionLast="45" xr6:coauthVersionMax="45" xr10:uidLastSave="{00000000-0000-0000-0000-000000000000}"/>
  <bookViews>
    <workbookView xWindow="28680" yWindow="-120" windowWidth="29040" windowHeight="15840" activeTab="2" xr2:uid="{7CFF2F5A-1C6B-436B-BBBC-19F1F7DF5F2D}"/>
  </bookViews>
  <sheets>
    <sheet name="Insertion_Sort" sheetId="1" r:id="rId1"/>
    <sheet name="Merge Sort" sheetId="2" r:id="rId2"/>
    <sheet name="Heap Sort" sheetId="3" r:id="rId3"/>
  </sheets>
  <definedNames>
    <definedName name="cur_element">Insertion_Sort!$H$3</definedName>
    <definedName name="cur_order">Insertion_Sort!$H$4</definedName>
    <definedName name="data_set">Insertion_Sort!$C$3:$C$52</definedName>
    <definedName name="end">'Merge Sort'!$P$22:$AN$22</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av">'Heap Sort'!$H$8</definedName>
    <definedName name="hs_cfs">'Heap Sort'!$H$9</definedName>
    <definedName name="hs_cnt">'Heap Sort'!$G$11</definedName>
    <definedName name="id_0">'Merge Sort'!$C$12</definedName>
    <definedName name="id_1">'Merge Sort'!$E$12</definedName>
    <definedName name="id_10">'Merge Sort'!$W$12</definedName>
    <definedName name="id_11">'Merge Sort'!$Y$12</definedName>
    <definedName name="id_12">'Merge Sort'!$AA$12</definedName>
    <definedName name="id_13">'Merge Sort'!$AD$12</definedName>
    <definedName name="id_14">'Merge Sort'!$AF$12</definedName>
    <definedName name="id_15">'Merge Sort'!$AH$12</definedName>
    <definedName name="id_16">'Merge Sort'!$AJ$12</definedName>
    <definedName name="id_17">'Merge Sort'!$AL$12</definedName>
    <definedName name="id_18">'Merge Sort'!$AN$12</definedName>
    <definedName name="id_19">'Merge Sort'!$AP$12</definedName>
    <definedName name="id_2">'Merge Sort'!$G$12</definedName>
    <definedName name="id_20">'Merge Sort'!$AR$12</definedName>
    <definedName name="id_21">'Merge Sort'!$AT$12</definedName>
    <definedName name="id_22">'Merge Sort'!$AV$12</definedName>
    <definedName name="id_23">'Merge Sort'!$AX$12</definedName>
    <definedName name="id_24">'Merge Sort'!$AZ$12</definedName>
    <definedName name="id_3">'Merge Sort'!$I$12</definedName>
    <definedName name="id_4">'Merge Sort'!$K$12</definedName>
    <definedName name="id_5">'Merge Sort'!$M$12</definedName>
    <definedName name="id_6">'Merge Sort'!$O$12</definedName>
    <definedName name="id_7">'Merge Sort'!$Q$12</definedName>
    <definedName name="id_8">'Merge Sort'!$S$12</definedName>
    <definedName name="id_9">'Merge Sort'!$U$12</definedName>
    <definedName name="m1_a">'Merge Sort'!$D$14:$E$14</definedName>
    <definedName name="m1_b">'Merge Sort'!$G$14</definedName>
    <definedName name="m1_c">'Merge Sort'!$I$14:$J$14</definedName>
    <definedName name="m1_d">'Merge Sort'!$M$14</definedName>
    <definedName name="m1_e">'Merge Sort'!$O$14:$P$14</definedName>
    <definedName name="m1_f">'Merge Sort'!$T$14:$U$14</definedName>
    <definedName name="m1_g">'Merge Sort'!$X$14:$Y$14</definedName>
    <definedName name="m1_h">'Merge Sort'!$AA$14</definedName>
    <definedName name="m1_i">'Merge Sort'!$AE$14:$AF$14</definedName>
    <definedName name="m1_j">'Merge Sort'!$AI$14</definedName>
    <definedName name="m1_k">'Merge Sort'!$AK$14:$AL$14</definedName>
    <definedName name="m1_l">'Merge Sort'!$AN$14</definedName>
    <definedName name="m1_m">'Merge Sort'!$AP$14:$AQ$14</definedName>
    <definedName name="m1_n">'Merge Sort'!$AT$14</definedName>
    <definedName name="m1_o">'Merge Sort'!$AV$14:$AW$14</definedName>
    <definedName name="m1_p">'Merge Sort'!$AY$14</definedName>
    <definedName name="m2_a">'Merge Sort'!$E$16:$G$16</definedName>
    <definedName name="m2_b">'Merge Sort'!$J$16:$L$16</definedName>
    <definedName name="m2_c">'Merge Sort'!$P$16:$S$16</definedName>
    <definedName name="m2_d">'Merge Sort'!$X$16:$Z$16</definedName>
    <definedName name="m2_e">'Merge Sort'!$AF$16:$AH$16</definedName>
    <definedName name="m2_f">'Merge Sort'!$AK$16:$AM$16</definedName>
    <definedName name="m2_g">'Merge Sort'!$AP$16:$AR$16</definedName>
    <definedName name="m2_h">'Merge Sort'!$AV$16:$AX$16</definedName>
    <definedName name="m3_a">'Merge Sort'!$F$18:$K$18</definedName>
    <definedName name="m3_b">'Merge Sort'!$R$18:$X$18</definedName>
    <definedName name="m3_c">'Merge Sort'!$AG$18:$AL$18</definedName>
    <definedName name="m3_d">'Merge Sort'!$AQ$18:$AV$18</definedName>
    <definedName name="m4_a">'Merge Sort'!$I$20:$U$20</definedName>
    <definedName name="m4_b">'Merge Sort'!$AI$20:$AT$20</definedName>
    <definedName name="opp_cnt">Insertion_Sort!$H$5</definedName>
    <definedName name="s1_a">'Merge Sort'!$D$10:$E$10</definedName>
    <definedName name="s1_c">'Merge Sort'!$I$10:$J$10</definedName>
    <definedName name="s1_e">'Merge Sort'!$O$10:$P$10</definedName>
    <definedName name="s1_f">'Merge Sort'!$T$10:$U$10</definedName>
    <definedName name="s1_g">'Merge Sort'!$X$10:$Y$10</definedName>
    <definedName name="s1_i">'Merge Sort'!$AE$10:$AF$10</definedName>
    <definedName name="s1_k">'Merge Sort'!$AJ$10:$AK$10</definedName>
    <definedName name="s1_m">'Merge Sort'!$AP$10:$AQ$10</definedName>
    <definedName name="s1_o">'Merge Sort'!$AV$10:$AW$10</definedName>
    <definedName name="s2_a">'Merge Sort'!$E$8:$G$8</definedName>
    <definedName name="s2_b">'Merge Sort'!$J$8:$L$8</definedName>
    <definedName name="s2_c">'Merge Sort'!$P$8:$S$8</definedName>
    <definedName name="s2_d">'Merge Sort'!$X$8:$Z$8</definedName>
    <definedName name="s2_e">'Merge Sort'!$AF$8:$AH$8</definedName>
    <definedName name="s2_f">'Merge Sort'!$AK$8:$AM$8</definedName>
    <definedName name="s2_g">'Merge Sort'!$AP$8:$AR$8</definedName>
    <definedName name="s2_h">'Merge Sort'!$AV$8:$AX$8</definedName>
    <definedName name="s3_a">'Merge Sort'!$F$6:$K$6</definedName>
    <definedName name="s3_b">'Merge Sort'!$R$6:$X$6</definedName>
    <definedName name="s3_c">'Merge Sort'!$AG$6:$AL$6</definedName>
    <definedName name="s3_d">'Merge Sort'!$AQ$6:$AV$6</definedName>
    <definedName name="s4_a">'Merge Sort'!$I$4:$U$4</definedName>
    <definedName name="s4_b">'Merge Sort'!$AI$4:$AT$4</definedName>
    <definedName name="sort">Insertion_Sort!$D$3</definedName>
    <definedName name="split1">'Merge Sort'!$I$4</definedName>
    <definedName name="split10">'Merge Sort'!$X$8</definedName>
    <definedName name="split11">'Merge Sort'!$AF$8</definedName>
    <definedName name="split12">'Merge Sort'!$AK$8</definedName>
    <definedName name="split13">'Merge Sort'!$AP$8</definedName>
    <definedName name="split14">'Merge Sort'!$AV$8</definedName>
    <definedName name="split15">'Merge Sort'!$D$10</definedName>
    <definedName name="split16">'Merge Sort'!$G$10</definedName>
    <definedName name="split17">'Merge Sort'!$I$10</definedName>
    <definedName name="split18">'Merge Sort'!$M$10</definedName>
    <definedName name="split19">'Merge Sort'!$O$10</definedName>
    <definedName name="split2">'Merge Sort'!$AI$4</definedName>
    <definedName name="split20">'Merge Sort'!$T$10</definedName>
    <definedName name="split21">'Merge Sort'!$X$10</definedName>
    <definedName name="split22">'Merge Sort'!$AA$10</definedName>
    <definedName name="split23">'Merge Sort'!$AE$10</definedName>
    <definedName name="split24">'Merge Sort'!$AH$10</definedName>
    <definedName name="split25">'Merge Sort'!$AJ$10</definedName>
    <definedName name="split26">'Merge Sort'!$AN$10</definedName>
    <definedName name="split27">'Merge Sort'!$AP$10</definedName>
    <definedName name="split28">'Merge Sort'!$AT$10</definedName>
    <definedName name="split29">'Merge Sort'!$AV$10</definedName>
    <definedName name="split3">'Merge Sort'!$F$6</definedName>
    <definedName name="split30">'Merge Sort'!$AY$10</definedName>
    <definedName name="split4">'Merge Sort'!$R$6</definedName>
    <definedName name="split5">'Merge Sort'!$AG$6</definedName>
    <definedName name="split6">'Merge Sort'!$AQ$6</definedName>
    <definedName name="split7">'Merge Sort'!$E$8</definedName>
    <definedName name="split8">'Merge Sort'!$J$8</definedName>
    <definedName name="split9">'Merge Sort'!$P$8</definedName>
    <definedName name="start">'Merge Sort'!$P$2</definedName>
    <definedName name="value">Insertion_Sort!$C$3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0" i="3" l="1"/>
  <c r="BN20" i="3" l="1"/>
  <c r="BL20" i="3"/>
  <c r="BJ20" i="3"/>
  <c r="BH20" i="3"/>
  <c r="BF20" i="3"/>
  <c r="BD20" i="3"/>
  <c r="BB20" i="3"/>
  <c r="AZ20" i="3"/>
  <c r="AX20" i="3"/>
  <c r="AV20" i="3"/>
  <c r="AT20" i="3"/>
  <c r="AR20" i="3"/>
  <c r="AP20" i="3"/>
  <c r="AN20" i="3"/>
  <c r="AL20" i="3"/>
  <c r="AJ20" i="3"/>
  <c r="AH20" i="3"/>
  <c r="AF20" i="3"/>
  <c r="AD20" i="3"/>
  <c r="AB20" i="3"/>
  <c r="Z20" i="3"/>
  <c r="X20" i="3"/>
  <c r="V20" i="3"/>
  <c r="T20" i="3"/>
  <c r="R20" i="3"/>
  <c r="P20" i="3"/>
  <c r="N20" i="3"/>
  <c r="L20" i="3"/>
  <c r="J20" i="3"/>
  <c r="H20" i="3"/>
  <c r="F20" i="3"/>
  <c r="BM18" i="3"/>
  <c r="BI18" i="3"/>
  <c r="BE18" i="3"/>
  <c r="BA18" i="3"/>
  <c r="AW18" i="3"/>
  <c r="AS18" i="3"/>
  <c r="AO18" i="3"/>
  <c r="AK18" i="3"/>
  <c r="AG18" i="3"/>
  <c r="AC18" i="3"/>
  <c r="Y18" i="3"/>
  <c r="U18" i="3"/>
  <c r="Q18" i="3"/>
  <c r="M18" i="3"/>
  <c r="I18" i="3"/>
  <c r="E18" i="3"/>
  <c r="BK16" i="3"/>
  <c r="BC16" i="3"/>
  <c r="AU16" i="3"/>
  <c r="AM16" i="3"/>
  <c r="AE16" i="3"/>
  <c r="W16" i="3"/>
  <c r="O16" i="3"/>
  <c r="G16" i="3"/>
  <c r="BG14" i="3"/>
  <c r="AQ14" i="3"/>
  <c r="AA14" i="3"/>
  <c r="K14" i="3"/>
  <c r="AY12" i="3"/>
  <c r="S12" i="3"/>
  <c r="AI10" i="3"/>
</calcChain>
</file>

<file path=xl/sharedStrings.xml><?xml version="1.0" encoding="utf-8"?>
<sst xmlns="http://schemas.openxmlformats.org/spreadsheetml/2006/main" count="22" uniqueCount="12">
  <si>
    <t>Element</t>
  </si>
  <si>
    <t>Value</t>
  </si>
  <si>
    <t>Operation Count</t>
  </si>
  <si>
    <t>Sorting</t>
  </si>
  <si>
    <t>Insertion Sort</t>
  </si>
  <si>
    <t>Order</t>
  </si>
  <si>
    <t>MERGE DATA</t>
  </si>
  <si>
    <t>SPLIT DATA</t>
  </si>
  <si>
    <t>Index</t>
  </si>
  <si>
    <t>Array</t>
  </si>
  <si>
    <t>Root/Parent</t>
  </si>
  <si>
    <t>Child-Check for swap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</si>
</sst>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1"/>
      <color rgb="FF000000"/>
      <name val="Calibri"/>
      <family val="2"/>
    </font>
    <font>
      <b/>
      <sz val="11"/>
      <color theme="1"/>
      <name val="Calibri"/>
      <family val="2"/>
      <scheme val="minor"/>
    </font>
    <font>
      <sz val="8"/>
      <color theme="1"/>
      <name val="Calibri"/>
      <family val="2"/>
      <scheme val="minor"/>
    </font>
    <font>
      <i/>
      <sz val="8"/>
      <color theme="1" tint="0.499984740745262"/>
      <name val="Calibri"/>
      <family val="2"/>
      <scheme val="minor"/>
    </font>
  </fonts>
  <fills count="7">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9">
    <xf numFmtId="0" fontId="0" fillId="0" borderId="0" xfId="0"/>
    <xf numFmtId="0" fontId="1" fillId="0" borderId="0" xfId="0" applyFont="1"/>
    <xf numFmtId="0" fontId="1"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1" fillId="0" borderId="0" xfId="0" applyFont="1" applyFill="1"/>
    <xf numFmtId="0" fontId="2" fillId="0" borderId="0" xfId="0" applyFont="1" applyAlignment="1">
      <alignment horizontal="center"/>
    </xf>
    <xf numFmtId="0" fontId="3" fillId="2" borderId="0" xfId="0" applyFont="1" applyFill="1" applyAlignment="1">
      <alignment horizontal="center"/>
    </xf>
    <xf numFmtId="0" fontId="2" fillId="3" borderId="1" xfId="0" applyFont="1" applyFill="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2" fillId="0" borderId="0" xfId="0" applyFont="1" applyFill="1" applyAlignment="1">
      <alignment horizontal="center"/>
    </xf>
    <xf numFmtId="0" fontId="3" fillId="0" borderId="0" xfId="0" applyFont="1" applyFill="1" applyAlignment="1">
      <alignment horizontal="center"/>
    </xf>
    <xf numFmtId="0" fontId="2" fillId="0" borderId="0" xfId="0" applyFont="1" applyFill="1" applyBorder="1" applyAlignment="1">
      <alignment horizontal="center"/>
    </xf>
    <xf numFmtId="0" fontId="0" fillId="0" borderId="0" xfId="0"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alignment horizontal="center"/>
    </xf>
    <xf numFmtId="0" fontId="0" fillId="0" borderId="5" xfId="0" applyBorder="1" applyAlignment="1">
      <alignment horizontal="center"/>
    </xf>
    <xf numFmtId="0" fontId="5" fillId="0" borderId="5" xfId="0" applyFont="1" applyBorder="1" applyAlignment="1">
      <alignment horizontal="center" vertical="center"/>
    </xf>
    <xf numFmtId="0" fontId="7" fillId="0" borderId="0" xfId="0" applyFont="1" applyAlignment="1">
      <alignment horizontal="center"/>
    </xf>
    <xf numFmtId="0" fontId="0" fillId="0" borderId="5" xfId="0" quotePrefix="1" applyBorder="1" applyAlignment="1">
      <alignment horizontal="center"/>
    </xf>
    <xf numFmtId="0" fontId="0" fillId="0" borderId="0" xfId="0" applyAlignment="1">
      <alignment horizontal="left"/>
    </xf>
    <xf numFmtId="0" fontId="0" fillId="0" borderId="0" xfId="0" applyAlignment="1">
      <alignment horizontal="centerContinuous"/>
    </xf>
  </cellXfs>
  <cellStyles count="1">
    <cellStyle name="Normal" xfId="0" builtinId="0"/>
  </cellStyles>
  <dxfs count="4">
    <dxf>
      <fill>
        <patternFill>
          <bgColor rgb="FFFFFF00"/>
        </patternFill>
      </fill>
    </dxf>
    <dxf>
      <fill>
        <patternFill>
          <bgColor rgb="FFFFC00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Insertion_Sort!$F$27</c:f>
          <c:strCache>
            <c:ptCount val="1"/>
            <c:pt idx="0">
              <c:v>Insertion Sort</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Insertion_Sort!$C$3:$C$52</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val>
          <c:extLst>
            <c:ext xmlns:c16="http://schemas.microsoft.com/office/drawing/2014/chart" uri="{C3380CC4-5D6E-409C-BE32-E72D297353CC}">
              <c16:uniqueId val="{00000000-3C9A-4105-8430-44880D648739}"/>
            </c:ext>
          </c:extLst>
        </c:ser>
        <c:dLbls>
          <c:showLegendKey val="0"/>
          <c:showVal val="0"/>
          <c:showCatName val="0"/>
          <c:showSerName val="0"/>
          <c:showPercent val="0"/>
          <c:showBubbleSize val="0"/>
        </c:dLbls>
        <c:gapWidth val="100"/>
        <c:overlap val="-24"/>
        <c:axId val="1182978672"/>
        <c:axId val="1086494800"/>
      </c:barChart>
      <c:catAx>
        <c:axId val="118297867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494800"/>
        <c:crosses val="autoZero"/>
        <c:auto val="1"/>
        <c:lblAlgn val="ctr"/>
        <c:lblOffset val="100"/>
        <c:noMultiLvlLbl val="0"/>
      </c:catAx>
      <c:valAx>
        <c:axId val="108649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97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Merge</a:t>
            </a:r>
            <a:r>
              <a:rPr lang="en-US" baseline="0"/>
              <a:t> Sort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'Merge Sort'!$P$22:$AN$22</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val>
          <c:extLst>
            <c:ext xmlns:c16="http://schemas.microsoft.com/office/drawing/2014/chart" uri="{C3380CC4-5D6E-409C-BE32-E72D297353CC}">
              <c16:uniqueId val="{00000000-7DC3-4127-9474-59DE7DFFC695}"/>
            </c:ext>
          </c:extLst>
        </c:ser>
        <c:dLbls>
          <c:showLegendKey val="0"/>
          <c:showVal val="0"/>
          <c:showCatName val="0"/>
          <c:showSerName val="0"/>
          <c:showPercent val="0"/>
          <c:showBubbleSize val="0"/>
        </c:dLbls>
        <c:gapWidth val="100"/>
        <c:overlap val="-24"/>
        <c:axId val="208816655"/>
        <c:axId val="759660895"/>
      </c:barChart>
      <c:catAx>
        <c:axId val="2088166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660895"/>
        <c:crosses val="autoZero"/>
        <c:auto val="1"/>
        <c:lblAlgn val="ctr"/>
        <c:lblOffset val="100"/>
        <c:noMultiLvlLbl val="0"/>
      </c:catAx>
      <c:valAx>
        <c:axId val="759660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6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800"/>
              <a:t>HEAP</a:t>
            </a:r>
            <a:r>
              <a:rPr lang="en-US" sz="1800" baseline="0"/>
              <a:t> SORT</a:t>
            </a:r>
            <a:endParaRPr lang="en-US" sz="18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Sort'!$D$4:$BN$4</c:f>
              <c:numCache>
                <c:formatCode>General</c:formatCode>
                <c:ptCount val="6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numCache>
            </c:numRef>
          </c:val>
          <c:extLst>
            <c:ext xmlns:c16="http://schemas.microsoft.com/office/drawing/2014/chart" uri="{C3380CC4-5D6E-409C-BE32-E72D297353CC}">
              <c16:uniqueId val="{00000000-1CCF-4CA0-8DF1-3CF5D7D6C29F}"/>
            </c:ext>
          </c:extLst>
        </c:ser>
        <c:dLbls>
          <c:showLegendKey val="0"/>
          <c:showVal val="0"/>
          <c:showCatName val="0"/>
          <c:showSerName val="0"/>
          <c:showPercent val="0"/>
          <c:showBubbleSize val="0"/>
        </c:dLbls>
        <c:gapWidth val="100"/>
        <c:overlap val="-24"/>
        <c:axId val="580040511"/>
        <c:axId val="2094269919"/>
      </c:barChart>
      <c:catAx>
        <c:axId val="58004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269919"/>
        <c:crosses val="autoZero"/>
        <c:auto val="1"/>
        <c:lblAlgn val="ctr"/>
        <c:lblOffset val="100"/>
        <c:noMultiLvlLbl val="0"/>
      </c:catAx>
      <c:valAx>
        <c:axId val="2094269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Value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040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171450</xdr:colOff>
      <xdr:row>0</xdr:row>
      <xdr:rowOff>0</xdr:rowOff>
    </xdr:from>
    <xdr:to>
      <xdr:col>21</xdr:col>
      <xdr:colOff>514350</xdr:colOff>
      <xdr:row>25</xdr:row>
      <xdr:rowOff>114299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14</xdr:row>
          <xdr:rowOff>28575</xdr:rowOff>
        </xdr:from>
        <xdr:to>
          <xdr:col>7</xdr:col>
          <xdr:colOff>542925</xdr:colOff>
          <xdr:row>15</xdr:row>
          <xdr:rowOff>95250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8</xdr:row>
          <xdr:rowOff>9525</xdr:rowOff>
        </xdr:from>
        <xdr:to>
          <xdr:col>7</xdr:col>
          <xdr:colOff>590550</xdr:colOff>
          <xdr:row>10</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10</xdr:row>
          <xdr:rowOff>114300</xdr:rowOff>
        </xdr:from>
        <xdr:to>
          <xdr:col>7</xdr:col>
          <xdr:colOff>571500</xdr:colOff>
          <xdr:row>12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9525</xdr:colOff>
      <xdr:row>22</xdr:row>
      <xdr:rowOff>71437</xdr:rowOff>
    </xdr:from>
    <xdr:to>
      <xdr:col>47</xdr:col>
      <xdr:colOff>47625</xdr:colOff>
      <xdr:row>37</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11</xdr:row>
      <xdr:rowOff>190500</xdr:rowOff>
    </xdr:from>
    <xdr:to>
      <xdr:col>17</xdr:col>
      <xdr:colOff>228600</xdr:colOff>
      <xdr:row>13</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12</xdr:row>
      <xdr:rowOff>9525</xdr:rowOff>
    </xdr:from>
    <xdr:to>
      <xdr:col>26</xdr:col>
      <xdr:colOff>0</xdr:colOff>
      <xdr:row>13</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14</xdr:row>
      <xdr:rowOff>9525</xdr:rowOff>
    </xdr:from>
    <xdr:to>
      <xdr:col>10</xdr:col>
      <xdr:colOff>38101</xdr:colOff>
      <xdr:row>15</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14</xdr:row>
      <xdr:rowOff>9525</xdr:rowOff>
    </xdr:from>
    <xdr:to>
      <xdr:col>13</xdr:col>
      <xdr:colOff>238125</xdr:colOff>
      <xdr:row>15</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14</xdr:row>
      <xdr:rowOff>9525</xdr:rowOff>
    </xdr:from>
    <xdr:to>
      <xdr:col>26</xdr:col>
      <xdr:colOff>38101</xdr:colOff>
      <xdr:row>15</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14</xdr:row>
      <xdr:rowOff>9525</xdr:rowOff>
    </xdr:from>
    <xdr:to>
      <xdr:col>29</xdr:col>
      <xdr:colOff>238125</xdr:colOff>
      <xdr:row>15</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16</xdr:row>
      <xdr:rowOff>19050</xdr:rowOff>
    </xdr:from>
    <xdr:to>
      <xdr:col>6</xdr:col>
      <xdr:colOff>66676</xdr:colOff>
      <xdr:row>17</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16</xdr:row>
      <xdr:rowOff>9525</xdr:rowOff>
    </xdr:from>
    <xdr:to>
      <xdr:col>7</xdr:col>
      <xdr:colOff>238125</xdr:colOff>
      <xdr:row>17</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16</xdr:row>
      <xdr:rowOff>19050</xdr:rowOff>
    </xdr:from>
    <xdr:to>
      <xdr:col>14</xdr:col>
      <xdr:colOff>66676</xdr:colOff>
      <xdr:row>17</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16</xdr:row>
      <xdr:rowOff>9525</xdr:rowOff>
    </xdr:from>
    <xdr:to>
      <xdr:col>15</xdr:col>
      <xdr:colOff>238125</xdr:colOff>
      <xdr:row>17</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16</xdr:row>
      <xdr:rowOff>9525</xdr:rowOff>
    </xdr:from>
    <xdr:to>
      <xdr:col>22</xdr:col>
      <xdr:colOff>66676</xdr:colOff>
      <xdr:row>17</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16</xdr:row>
      <xdr:rowOff>0</xdr:rowOff>
    </xdr:from>
    <xdr:to>
      <xdr:col>23</xdr:col>
      <xdr:colOff>238125</xdr:colOff>
      <xdr:row>17</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16</xdr:row>
      <xdr:rowOff>9525</xdr:rowOff>
    </xdr:from>
    <xdr:to>
      <xdr:col>30</xdr:col>
      <xdr:colOff>66676</xdr:colOff>
      <xdr:row>17</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16</xdr:row>
      <xdr:rowOff>0</xdr:rowOff>
    </xdr:from>
    <xdr:to>
      <xdr:col>31</xdr:col>
      <xdr:colOff>238125</xdr:colOff>
      <xdr:row>17</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18</xdr:row>
      <xdr:rowOff>0</xdr:rowOff>
    </xdr:from>
    <xdr:to>
      <xdr:col>4</xdr:col>
      <xdr:colOff>2</xdr:colOff>
      <xdr:row>18</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18</xdr:row>
      <xdr:rowOff>0</xdr:rowOff>
    </xdr:from>
    <xdr:to>
      <xdr:col>5</xdr:col>
      <xdr:colOff>133350</xdr:colOff>
      <xdr:row>18</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18</xdr:row>
      <xdr:rowOff>0</xdr:rowOff>
    </xdr:from>
    <xdr:to>
      <xdr:col>7</xdr:col>
      <xdr:colOff>238127</xdr:colOff>
      <xdr:row>18</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xdr:row>
      <xdr:rowOff>0</xdr:rowOff>
    </xdr:from>
    <xdr:to>
      <xdr:col>9</xdr:col>
      <xdr:colOff>123825</xdr:colOff>
      <xdr:row>18</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17</xdr:row>
      <xdr:rowOff>180975</xdr:rowOff>
    </xdr:from>
    <xdr:to>
      <xdr:col>12</xdr:col>
      <xdr:colOff>2</xdr:colOff>
      <xdr:row>18</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180975</xdr:rowOff>
    </xdr:from>
    <xdr:to>
      <xdr:col>13</xdr:col>
      <xdr:colOff>133350</xdr:colOff>
      <xdr:row>18</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17</xdr:row>
      <xdr:rowOff>190500</xdr:rowOff>
    </xdr:from>
    <xdr:to>
      <xdr:col>16</xdr:col>
      <xdr:colOff>2</xdr:colOff>
      <xdr:row>18</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17</xdr:row>
      <xdr:rowOff>190500</xdr:rowOff>
    </xdr:from>
    <xdr:to>
      <xdr:col>17</xdr:col>
      <xdr:colOff>133350</xdr:colOff>
      <xdr:row>18</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18</xdr:row>
      <xdr:rowOff>0</xdr:rowOff>
    </xdr:from>
    <xdr:to>
      <xdr:col>19</xdr:col>
      <xdr:colOff>238127</xdr:colOff>
      <xdr:row>18</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18</xdr:row>
      <xdr:rowOff>0</xdr:rowOff>
    </xdr:from>
    <xdr:to>
      <xdr:col>21</xdr:col>
      <xdr:colOff>123825</xdr:colOff>
      <xdr:row>18</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18</xdr:row>
      <xdr:rowOff>0</xdr:rowOff>
    </xdr:from>
    <xdr:to>
      <xdr:col>23</xdr:col>
      <xdr:colOff>228602</xdr:colOff>
      <xdr:row>18</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18</xdr:row>
      <xdr:rowOff>0</xdr:rowOff>
    </xdr:from>
    <xdr:to>
      <xdr:col>25</xdr:col>
      <xdr:colOff>114300</xdr:colOff>
      <xdr:row>18</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18</xdr:row>
      <xdr:rowOff>0</xdr:rowOff>
    </xdr:from>
    <xdr:to>
      <xdr:col>28</xdr:col>
      <xdr:colOff>9527</xdr:colOff>
      <xdr:row>18</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18</xdr:row>
      <xdr:rowOff>0</xdr:rowOff>
    </xdr:from>
    <xdr:to>
      <xdr:col>29</xdr:col>
      <xdr:colOff>142875</xdr:colOff>
      <xdr:row>18</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18</xdr:row>
      <xdr:rowOff>9525</xdr:rowOff>
    </xdr:from>
    <xdr:to>
      <xdr:col>31</xdr:col>
      <xdr:colOff>238127</xdr:colOff>
      <xdr:row>18</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18</xdr:row>
      <xdr:rowOff>9525</xdr:rowOff>
    </xdr:from>
    <xdr:to>
      <xdr:col>33</xdr:col>
      <xdr:colOff>123825</xdr:colOff>
      <xdr:row>19</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11</xdr:row>
      <xdr:rowOff>180975</xdr:rowOff>
    </xdr:from>
    <xdr:to>
      <xdr:col>50</xdr:col>
      <xdr:colOff>0</xdr:colOff>
      <xdr:row>13</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11</xdr:row>
      <xdr:rowOff>190500</xdr:rowOff>
    </xdr:from>
    <xdr:to>
      <xdr:col>58</xdr:col>
      <xdr:colOff>0</xdr:colOff>
      <xdr:row>13</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14</xdr:row>
      <xdr:rowOff>9525</xdr:rowOff>
    </xdr:from>
    <xdr:to>
      <xdr:col>42</xdr:col>
      <xdr:colOff>38101</xdr:colOff>
      <xdr:row>15</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14</xdr:row>
      <xdr:rowOff>9525</xdr:rowOff>
    </xdr:from>
    <xdr:to>
      <xdr:col>45</xdr:col>
      <xdr:colOff>238125</xdr:colOff>
      <xdr:row>15</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14</xdr:row>
      <xdr:rowOff>9525</xdr:rowOff>
    </xdr:from>
    <xdr:to>
      <xdr:col>58</xdr:col>
      <xdr:colOff>38101</xdr:colOff>
      <xdr:row>15</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14</xdr:row>
      <xdr:rowOff>9525</xdr:rowOff>
    </xdr:from>
    <xdr:to>
      <xdr:col>61</xdr:col>
      <xdr:colOff>238125</xdr:colOff>
      <xdr:row>15</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16</xdr:row>
      <xdr:rowOff>19050</xdr:rowOff>
    </xdr:from>
    <xdr:to>
      <xdr:col>38</xdr:col>
      <xdr:colOff>66676</xdr:colOff>
      <xdr:row>17</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16</xdr:row>
      <xdr:rowOff>9525</xdr:rowOff>
    </xdr:from>
    <xdr:to>
      <xdr:col>39</xdr:col>
      <xdr:colOff>238125</xdr:colOff>
      <xdr:row>17</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16</xdr:row>
      <xdr:rowOff>19050</xdr:rowOff>
    </xdr:from>
    <xdr:to>
      <xdr:col>46</xdr:col>
      <xdr:colOff>66676</xdr:colOff>
      <xdr:row>17</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16</xdr:row>
      <xdr:rowOff>9525</xdr:rowOff>
    </xdr:from>
    <xdr:to>
      <xdr:col>47</xdr:col>
      <xdr:colOff>238125</xdr:colOff>
      <xdr:row>17</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16</xdr:row>
      <xdr:rowOff>9525</xdr:rowOff>
    </xdr:from>
    <xdr:to>
      <xdr:col>54</xdr:col>
      <xdr:colOff>66676</xdr:colOff>
      <xdr:row>17</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16</xdr:row>
      <xdr:rowOff>0</xdr:rowOff>
    </xdr:from>
    <xdr:to>
      <xdr:col>55</xdr:col>
      <xdr:colOff>238125</xdr:colOff>
      <xdr:row>17</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16</xdr:row>
      <xdr:rowOff>9525</xdr:rowOff>
    </xdr:from>
    <xdr:to>
      <xdr:col>62</xdr:col>
      <xdr:colOff>66676</xdr:colOff>
      <xdr:row>17</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16</xdr:row>
      <xdr:rowOff>0</xdr:rowOff>
    </xdr:from>
    <xdr:to>
      <xdr:col>63</xdr:col>
      <xdr:colOff>238125</xdr:colOff>
      <xdr:row>17</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18</xdr:row>
      <xdr:rowOff>0</xdr:rowOff>
    </xdr:from>
    <xdr:to>
      <xdr:col>36</xdr:col>
      <xdr:colOff>2</xdr:colOff>
      <xdr:row>18</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18</xdr:row>
      <xdr:rowOff>0</xdr:rowOff>
    </xdr:from>
    <xdr:to>
      <xdr:col>37</xdr:col>
      <xdr:colOff>133350</xdr:colOff>
      <xdr:row>18</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18</xdr:row>
      <xdr:rowOff>0</xdr:rowOff>
    </xdr:from>
    <xdr:to>
      <xdr:col>39</xdr:col>
      <xdr:colOff>238127</xdr:colOff>
      <xdr:row>18</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18</xdr:row>
      <xdr:rowOff>0</xdr:rowOff>
    </xdr:from>
    <xdr:to>
      <xdr:col>41</xdr:col>
      <xdr:colOff>123825</xdr:colOff>
      <xdr:row>18</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17</xdr:row>
      <xdr:rowOff>180975</xdr:rowOff>
    </xdr:from>
    <xdr:to>
      <xdr:col>44</xdr:col>
      <xdr:colOff>2</xdr:colOff>
      <xdr:row>18</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180975</xdr:rowOff>
    </xdr:from>
    <xdr:to>
      <xdr:col>45</xdr:col>
      <xdr:colOff>133350</xdr:colOff>
      <xdr:row>18</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17</xdr:row>
      <xdr:rowOff>190500</xdr:rowOff>
    </xdr:from>
    <xdr:to>
      <xdr:col>48</xdr:col>
      <xdr:colOff>2</xdr:colOff>
      <xdr:row>18</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17</xdr:row>
      <xdr:rowOff>190500</xdr:rowOff>
    </xdr:from>
    <xdr:to>
      <xdr:col>49</xdr:col>
      <xdr:colOff>133350</xdr:colOff>
      <xdr:row>18</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18</xdr:row>
      <xdr:rowOff>0</xdr:rowOff>
    </xdr:from>
    <xdr:to>
      <xdr:col>51</xdr:col>
      <xdr:colOff>238127</xdr:colOff>
      <xdr:row>18</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18</xdr:row>
      <xdr:rowOff>0</xdr:rowOff>
    </xdr:from>
    <xdr:to>
      <xdr:col>53</xdr:col>
      <xdr:colOff>123825</xdr:colOff>
      <xdr:row>18</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18</xdr:row>
      <xdr:rowOff>0</xdr:rowOff>
    </xdr:from>
    <xdr:to>
      <xdr:col>55</xdr:col>
      <xdr:colOff>228602</xdr:colOff>
      <xdr:row>18</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18</xdr:row>
      <xdr:rowOff>0</xdr:rowOff>
    </xdr:from>
    <xdr:to>
      <xdr:col>57</xdr:col>
      <xdr:colOff>114300</xdr:colOff>
      <xdr:row>18</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18</xdr:row>
      <xdr:rowOff>0</xdr:rowOff>
    </xdr:from>
    <xdr:to>
      <xdr:col>60</xdr:col>
      <xdr:colOff>9527</xdr:colOff>
      <xdr:row>18</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18</xdr:row>
      <xdr:rowOff>0</xdr:rowOff>
    </xdr:from>
    <xdr:to>
      <xdr:col>61</xdr:col>
      <xdr:colOff>142875</xdr:colOff>
      <xdr:row>18</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18</xdr:row>
      <xdr:rowOff>9525</xdr:rowOff>
    </xdr:from>
    <xdr:to>
      <xdr:col>63</xdr:col>
      <xdr:colOff>238127</xdr:colOff>
      <xdr:row>18</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18</xdr:row>
      <xdr:rowOff>9525</xdr:rowOff>
    </xdr:from>
    <xdr:to>
      <xdr:col>65</xdr:col>
      <xdr:colOff>123825</xdr:colOff>
      <xdr:row>19</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9</xdr:row>
      <xdr:rowOff>66675</xdr:rowOff>
    </xdr:from>
    <xdr:to>
      <xdr:col>33</xdr:col>
      <xdr:colOff>228601</xdr:colOff>
      <xdr:row>11</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9</xdr:row>
      <xdr:rowOff>66675</xdr:rowOff>
    </xdr:from>
    <xdr:to>
      <xdr:col>49</xdr:col>
      <xdr:colOff>238125</xdr:colOff>
      <xdr:row>11</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21345525" y="1400175"/>
          <a:ext cx="8763000" cy="4095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0</xdr:row>
      <xdr:rowOff>133349</xdr:rowOff>
    </xdr:from>
    <xdr:to>
      <xdr:col>7</xdr:col>
      <xdr:colOff>209550</xdr:colOff>
      <xdr:row>1</xdr:row>
      <xdr:rowOff>180974</xdr:rowOff>
    </xdr:to>
    <xdr:sp macro="[0]!New_Heap_Data" textlink="">
      <xdr:nvSpPr>
        <xdr:cNvPr id="65" name="Rectangle: Rounded Corners 64">
          <a:extLst>
            <a:ext uri="{FF2B5EF4-FFF2-40B4-BE49-F238E27FC236}">
              <a16:creationId xmlns:a16="http://schemas.microsoft.com/office/drawing/2014/main" id="{00000000-0008-0000-0200-000041000000}"/>
            </a:ext>
          </a:extLst>
        </xdr:cNvPr>
        <xdr:cNvSpPr/>
      </xdr:nvSpPr>
      <xdr:spPr>
        <a:xfrm>
          <a:off x="742950" y="133349"/>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LOAD NEW DATA</a:t>
          </a:r>
        </a:p>
      </xdr:txBody>
    </xdr:sp>
    <xdr:clientData/>
  </xdr:twoCellAnchor>
  <xdr:twoCellAnchor>
    <xdr:from>
      <xdr:col>9</xdr:col>
      <xdr:colOff>123825</xdr:colOff>
      <xdr:row>0</xdr:row>
      <xdr:rowOff>123825</xdr:rowOff>
    </xdr:from>
    <xdr:to>
      <xdr:col>14</xdr:col>
      <xdr:colOff>85725</xdr:colOff>
      <xdr:row>1</xdr:row>
      <xdr:rowOff>171450</xdr:rowOff>
    </xdr:to>
    <xdr:sp macro="[0]!Run_Heap_Sort" textlink="">
      <xdr:nvSpPr>
        <xdr:cNvPr id="66" name="Rectangle: Rounded Corners 65">
          <a:extLst>
            <a:ext uri="{FF2B5EF4-FFF2-40B4-BE49-F238E27FC236}">
              <a16:creationId xmlns:a16="http://schemas.microsoft.com/office/drawing/2014/main" id="{00000000-0008-0000-0200-000042000000}"/>
            </a:ext>
          </a:extLst>
        </xdr:cNvPr>
        <xdr:cNvSpPr/>
      </xdr:nvSpPr>
      <xdr:spPr>
        <a:xfrm>
          <a:off x="2352675" y="123825"/>
          <a:ext cx="12001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RUN</a:t>
          </a:r>
          <a:r>
            <a:rPr lang="en-US" sz="1100" baseline="0">
              <a:solidFill>
                <a:schemeClr val="bg1"/>
              </a:solidFill>
            </a:rPr>
            <a:t> HEAP SORT</a:t>
          </a:r>
          <a:endParaRPr lang="en-US" sz="1100">
            <a:solidFill>
              <a:schemeClr val="bg1"/>
            </a:solidFill>
          </a:endParaRPr>
        </a:p>
      </xdr:txBody>
    </xdr:sp>
    <xdr:clientData/>
  </xdr:twoCellAnchor>
  <xdr:twoCellAnchor>
    <xdr:from>
      <xdr:col>1</xdr:col>
      <xdr:colOff>125014</xdr:colOff>
      <xdr:row>24</xdr:row>
      <xdr:rowOff>119064</xdr:rowOff>
    </xdr:from>
    <xdr:to>
      <xdr:col>66</xdr:col>
      <xdr:colOff>59530</xdr:colOff>
      <xdr:row>42</xdr:row>
      <xdr:rowOff>11906</xdr:rowOff>
    </xdr:to>
    <xdr:graphicFrame macro="">
      <xdr:nvGraphicFramePr>
        <xdr:cNvPr id="64" name="Chart 63">
          <a:extLst>
            <a:ext uri="{FF2B5EF4-FFF2-40B4-BE49-F238E27FC236}">
              <a16:creationId xmlns:a16="http://schemas.microsoft.com/office/drawing/2014/main" id="{6E57C10C-6039-455B-98E3-873E7BE9FF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2E2EC-B1B5-4FAA-87FB-52B7674D828E}">
  <sheetPr codeName="Sheet1"/>
  <dimension ref="B1:Z100"/>
  <sheetViews>
    <sheetView showGridLines="0" workbookViewId="0">
      <selection activeCell="G22" sqref="G22"/>
    </sheetView>
  </sheetViews>
  <sheetFormatPr defaultRowHeight="12.75" x14ac:dyDescent="0.2"/>
  <cols>
    <col min="1" max="1" width="2.7109375" style="1" customWidth="1"/>
    <col min="2" max="2" width="7.5703125" style="2" customWidth="1"/>
    <col min="3" max="4" width="6.85546875" style="6" customWidth="1"/>
    <col min="5" max="5" width="1.7109375" style="12" customWidth="1"/>
    <col min="6" max="16384" width="9.140625" style="1"/>
  </cols>
  <sheetData>
    <row r="1" spans="2:26" ht="9.9499999999999993" customHeight="1" x14ac:dyDescent="0.2"/>
    <row r="2" spans="2:26" ht="9.9499999999999993" customHeight="1" x14ac:dyDescent="0.2">
      <c r="B2" s="7" t="s">
        <v>0</v>
      </c>
      <c r="C2" s="7" t="s">
        <v>1</v>
      </c>
      <c r="D2" s="7" t="s">
        <v>3</v>
      </c>
      <c r="E2" s="13"/>
      <c r="I2" s="5"/>
      <c r="J2" s="5"/>
      <c r="K2" s="5"/>
      <c r="L2" s="5"/>
      <c r="M2" s="5"/>
      <c r="N2" s="5"/>
      <c r="O2" s="5"/>
      <c r="P2" s="5"/>
      <c r="Q2" s="5"/>
      <c r="R2" s="5"/>
      <c r="S2" s="5"/>
      <c r="T2" s="5"/>
      <c r="U2" s="5"/>
      <c r="V2" s="5"/>
      <c r="W2" s="5"/>
      <c r="X2" s="5"/>
      <c r="Y2" s="5"/>
      <c r="Z2" s="5"/>
    </row>
    <row r="3" spans="2:26" ht="9.9499999999999993" customHeight="1" x14ac:dyDescent="0.2">
      <c r="B3" s="9">
        <v>1</v>
      </c>
      <c r="C3" s="8">
        <v>1</v>
      </c>
      <c r="D3" s="8"/>
      <c r="E3" s="14"/>
      <c r="F3" s="3" t="s">
        <v>0</v>
      </c>
      <c r="G3" s="4"/>
      <c r="H3" s="4">
        <v>15</v>
      </c>
      <c r="I3" s="5"/>
      <c r="J3" s="5"/>
      <c r="K3" s="5"/>
      <c r="L3" s="5"/>
      <c r="M3" s="5"/>
      <c r="N3" s="5"/>
      <c r="O3" s="5"/>
      <c r="P3" s="5"/>
      <c r="Q3" s="5"/>
      <c r="R3" s="5"/>
      <c r="S3" s="5"/>
      <c r="T3" s="5"/>
      <c r="U3" s="5"/>
      <c r="V3" s="5"/>
      <c r="W3" s="5"/>
      <c r="X3" s="5"/>
      <c r="Y3" s="5"/>
      <c r="Z3" s="5"/>
    </row>
    <row r="4" spans="2:26" ht="9.9499999999999993" customHeight="1" x14ac:dyDescent="0.2">
      <c r="B4" s="10">
        <v>2</v>
      </c>
      <c r="C4" s="8">
        <v>2</v>
      </c>
      <c r="D4" s="8"/>
      <c r="E4" s="14"/>
      <c r="F4" s="3" t="s">
        <v>5</v>
      </c>
      <c r="G4" s="4"/>
      <c r="H4" s="4">
        <v>17</v>
      </c>
      <c r="I4" s="5"/>
      <c r="J4" s="5"/>
      <c r="K4" s="5"/>
      <c r="L4" s="5"/>
      <c r="M4" s="5"/>
      <c r="N4" s="5"/>
      <c r="O4" s="5"/>
      <c r="P4" s="5"/>
      <c r="Q4" s="5"/>
      <c r="R4" s="5"/>
      <c r="S4" s="5"/>
      <c r="T4" s="5"/>
      <c r="U4" s="5"/>
      <c r="V4" s="5"/>
      <c r="W4" s="5"/>
      <c r="X4" s="5"/>
      <c r="Y4" s="5"/>
      <c r="Z4" s="5"/>
    </row>
    <row r="5" spans="2:26" ht="9.9499999999999993" customHeight="1" x14ac:dyDescent="0.2">
      <c r="B5" s="10">
        <v>3</v>
      </c>
      <c r="C5" s="8">
        <v>3</v>
      </c>
      <c r="D5" s="8"/>
      <c r="E5" s="14"/>
      <c r="F5" s="3" t="s">
        <v>2</v>
      </c>
      <c r="G5" s="4"/>
      <c r="H5" s="4">
        <v>594</v>
      </c>
      <c r="I5" s="5"/>
      <c r="J5" s="5"/>
      <c r="K5" s="5"/>
      <c r="L5" s="5"/>
      <c r="M5" s="5"/>
      <c r="N5" s="5"/>
      <c r="O5" s="5"/>
      <c r="P5" s="5"/>
      <c r="Q5" s="5"/>
      <c r="R5" s="5"/>
      <c r="S5" s="5"/>
      <c r="T5" s="5"/>
      <c r="U5" s="5"/>
      <c r="V5" s="5"/>
      <c r="W5" s="5"/>
      <c r="X5" s="5"/>
      <c r="Y5" s="5"/>
      <c r="Z5" s="5"/>
    </row>
    <row r="6" spans="2:26" ht="9.9499999999999993" customHeight="1" x14ac:dyDescent="0.2">
      <c r="B6" s="10">
        <v>4</v>
      </c>
      <c r="C6" s="8">
        <v>4</v>
      </c>
      <c r="D6" s="8"/>
      <c r="E6" s="14"/>
      <c r="I6" s="5"/>
      <c r="J6" s="5"/>
      <c r="K6" s="5"/>
      <c r="L6" s="5"/>
      <c r="M6" s="5"/>
      <c r="N6" s="5"/>
      <c r="O6" s="5"/>
      <c r="P6" s="5"/>
      <c r="Q6" s="5"/>
      <c r="R6" s="5"/>
      <c r="S6" s="5"/>
      <c r="T6" s="5"/>
      <c r="U6" s="5"/>
      <c r="V6" s="5"/>
      <c r="W6" s="5"/>
      <c r="X6" s="5"/>
      <c r="Y6" s="5"/>
      <c r="Z6" s="5"/>
    </row>
    <row r="7" spans="2:26" ht="9.9499999999999993" customHeight="1" x14ac:dyDescent="0.2">
      <c r="B7" s="10">
        <v>5</v>
      </c>
      <c r="C7" s="8">
        <v>5</v>
      </c>
      <c r="D7" s="8"/>
      <c r="E7" s="14"/>
      <c r="F7" s="4"/>
      <c r="I7" s="5"/>
      <c r="J7" s="5"/>
      <c r="K7" s="5"/>
      <c r="L7" s="5"/>
      <c r="M7" s="5"/>
      <c r="N7" s="5"/>
      <c r="O7" s="5"/>
      <c r="P7" s="5"/>
      <c r="Q7" s="5"/>
      <c r="R7" s="5"/>
      <c r="S7" s="5"/>
      <c r="T7" s="5"/>
      <c r="U7" s="5"/>
      <c r="V7" s="5"/>
      <c r="W7" s="5"/>
      <c r="X7" s="5"/>
      <c r="Y7" s="5"/>
      <c r="Z7" s="5"/>
    </row>
    <row r="8" spans="2:26" ht="9.9499999999999993" customHeight="1" x14ac:dyDescent="0.2">
      <c r="B8" s="10">
        <v>6</v>
      </c>
      <c r="C8" s="8">
        <v>6</v>
      </c>
      <c r="D8" s="8"/>
      <c r="E8" s="14"/>
      <c r="F8" s="4"/>
      <c r="I8" s="5"/>
      <c r="J8" s="5"/>
      <c r="K8" s="5"/>
      <c r="L8" s="5"/>
      <c r="M8" s="5"/>
      <c r="N8" s="5"/>
      <c r="O8" s="5"/>
      <c r="P8" s="5"/>
      <c r="Q8" s="5"/>
      <c r="R8" s="5"/>
      <c r="S8" s="5"/>
      <c r="T8" s="5"/>
      <c r="U8" s="5"/>
      <c r="V8" s="5"/>
      <c r="W8" s="5"/>
      <c r="X8" s="5"/>
      <c r="Y8" s="5"/>
      <c r="Z8" s="5"/>
    </row>
    <row r="9" spans="2:26" ht="9.9499999999999993" customHeight="1" x14ac:dyDescent="0.2">
      <c r="B9" s="10">
        <v>7</v>
      </c>
      <c r="C9" s="8">
        <v>7</v>
      </c>
      <c r="D9" s="8"/>
      <c r="E9" s="14"/>
      <c r="F9" s="4"/>
      <c r="I9" s="5"/>
      <c r="J9" s="5"/>
      <c r="K9" s="5"/>
      <c r="L9" s="5"/>
      <c r="M9" s="5"/>
      <c r="N9" s="5"/>
      <c r="O9" s="5"/>
      <c r="P9" s="5"/>
      <c r="Q9" s="5"/>
      <c r="R9" s="5"/>
      <c r="S9" s="5"/>
      <c r="T9" s="5"/>
      <c r="U9" s="5"/>
      <c r="V9" s="5"/>
      <c r="W9" s="5"/>
      <c r="X9" s="5"/>
      <c r="Y9" s="5"/>
      <c r="Z9" s="5"/>
    </row>
    <row r="10" spans="2:26" ht="9.9499999999999993" customHeight="1" x14ac:dyDescent="0.2">
      <c r="B10" s="10">
        <v>8</v>
      </c>
      <c r="C10" s="8">
        <v>8</v>
      </c>
      <c r="D10" s="8"/>
      <c r="E10" s="14"/>
      <c r="F10" s="4"/>
      <c r="I10" s="5"/>
      <c r="J10" s="5"/>
      <c r="K10" s="5"/>
      <c r="L10" s="5"/>
      <c r="M10" s="5"/>
      <c r="N10" s="5"/>
      <c r="O10" s="5"/>
      <c r="P10" s="5"/>
      <c r="Q10" s="5"/>
      <c r="R10" s="5"/>
      <c r="S10" s="5"/>
      <c r="T10" s="5"/>
      <c r="U10" s="5"/>
      <c r="V10" s="5"/>
      <c r="W10" s="5"/>
      <c r="X10" s="5"/>
      <c r="Y10" s="5"/>
      <c r="Z10" s="5"/>
    </row>
    <row r="11" spans="2:26" ht="9.9499999999999993" customHeight="1" x14ac:dyDescent="0.2">
      <c r="B11" s="10">
        <v>9</v>
      </c>
      <c r="C11" s="8">
        <v>9</v>
      </c>
      <c r="D11" s="8"/>
      <c r="E11" s="14"/>
      <c r="F11" s="4"/>
      <c r="I11" s="5"/>
      <c r="J11" s="5"/>
      <c r="K11" s="5"/>
      <c r="L11" s="5"/>
      <c r="M11" s="5"/>
      <c r="N11" s="5"/>
      <c r="O11" s="5"/>
      <c r="P11" s="5"/>
      <c r="Q11" s="5"/>
      <c r="R11" s="5"/>
      <c r="S11" s="5"/>
      <c r="T11" s="5"/>
      <c r="U11" s="5"/>
      <c r="W11" s="5"/>
      <c r="X11" s="5"/>
      <c r="Y11" s="5"/>
      <c r="Z11" s="5"/>
    </row>
    <row r="12" spans="2:26" ht="9.9499999999999993" customHeight="1" x14ac:dyDescent="0.2">
      <c r="B12" s="10">
        <v>10</v>
      </c>
      <c r="C12" s="8">
        <v>10</v>
      </c>
      <c r="D12" s="8"/>
      <c r="E12" s="14"/>
      <c r="F12" s="4"/>
      <c r="I12" s="5"/>
      <c r="J12" s="5"/>
      <c r="K12" s="5"/>
      <c r="L12" s="5"/>
      <c r="M12" s="5"/>
      <c r="N12" s="5"/>
      <c r="O12" s="5"/>
      <c r="P12" s="5"/>
      <c r="Q12" s="5"/>
      <c r="R12" s="5"/>
      <c r="S12" s="5"/>
      <c r="T12" s="5"/>
      <c r="U12" s="5"/>
      <c r="V12" s="5"/>
      <c r="W12" s="5"/>
      <c r="X12" s="5"/>
      <c r="Y12" s="5"/>
      <c r="Z12" s="5"/>
    </row>
    <row r="13" spans="2:26" ht="9.9499999999999993" customHeight="1" x14ac:dyDescent="0.2">
      <c r="B13" s="10">
        <v>11</v>
      </c>
      <c r="C13" s="8">
        <v>11</v>
      </c>
      <c r="D13" s="8"/>
      <c r="E13" s="14"/>
      <c r="F13" s="4"/>
      <c r="I13" s="5"/>
      <c r="J13" s="5"/>
      <c r="K13" s="5"/>
      <c r="L13" s="5"/>
      <c r="M13" s="5"/>
      <c r="N13" s="5"/>
      <c r="O13" s="5"/>
      <c r="P13" s="5"/>
      <c r="Q13" s="5"/>
      <c r="R13" s="5"/>
      <c r="S13" s="5"/>
      <c r="T13" s="5"/>
      <c r="U13" s="5"/>
      <c r="V13" s="5"/>
      <c r="W13" s="5"/>
      <c r="X13" s="5"/>
      <c r="Y13" s="5"/>
      <c r="Z13" s="5"/>
    </row>
    <row r="14" spans="2:26" ht="9.9499999999999993" customHeight="1" x14ac:dyDescent="0.2">
      <c r="B14" s="10">
        <v>12</v>
      </c>
      <c r="C14" s="8">
        <v>12</v>
      </c>
      <c r="D14" s="8"/>
      <c r="E14" s="14"/>
      <c r="F14" s="4"/>
      <c r="I14" s="5"/>
      <c r="J14" s="5"/>
      <c r="K14" s="5"/>
      <c r="L14" s="5"/>
      <c r="M14" s="5"/>
      <c r="N14" s="5"/>
      <c r="O14" s="5"/>
      <c r="P14" s="5"/>
      <c r="Q14" s="5"/>
      <c r="R14" s="5"/>
      <c r="S14" s="5"/>
      <c r="T14" s="5"/>
      <c r="U14" s="5"/>
      <c r="V14" s="5"/>
      <c r="W14" s="5"/>
      <c r="X14" s="5"/>
      <c r="Y14" s="5"/>
      <c r="Z14" s="5"/>
    </row>
    <row r="15" spans="2:26" ht="9.9499999999999993" customHeight="1" x14ac:dyDescent="0.2">
      <c r="B15" s="10">
        <v>13</v>
      </c>
      <c r="C15" s="8">
        <v>13</v>
      </c>
      <c r="D15" s="8"/>
      <c r="E15" s="14"/>
      <c r="F15" s="4"/>
      <c r="I15" s="5"/>
      <c r="J15" s="5"/>
      <c r="K15" s="5"/>
      <c r="L15" s="5"/>
      <c r="M15" s="5"/>
      <c r="N15" s="5"/>
      <c r="O15" s="5"/>
      <c r="P15" s="5"/>
      <c r="Q15" s="5"/>
      <c r="R15" s="5"/>
      <c r="S15" s="5"/>
      <c r="T15" s="5"/>
      <c r="U15" s="5"/>
      <c r="V15" s="5"/>
      <c r="W15" s="5"/>
      <c r="X15" s="5"/>
      <c r="Y15" s="5"/>
      <c r="Z15" s="5"/>
    </row>
    <row r="16" spans="2:26" ht="9.9499999999999993" customHeight="1" x14ac:dyDescent="0.2">
      <c r="B16" s="10">
        <v>14</v>
      </c>
      <c r="C16" s="8">
        <v>14</v>
      </c>
      <c r="D16" s="8"/>
      <c r="E16" s="14"/>
      <c r="F16" s="4"/>
      <c r="I16" s="5"/>
      <c r="J16" s="5"/>
      <c r="K16" s="5"/>
      <c r="L16" s="5"/>
      <c r="M16" s="5"/>
      <c r="N16" s="5"/>
      <c r="O16" s="5"/>
      <c r="P16" s="5"/>
      <c r="Q16" s="5"/>
      <c r="R16" s="5"/>
      <c r="S16" s="5"/>
      <c r="T16" s="5"/>
      <c r="U16" s="5"/>
      <c r="V16" s="5"/>
      <c r="W16" s="5"/>
      <c r="X16" s="5"/>
      <c r="Y16" s="5"/>
      <c r="Z16" s="5"/>
    </row>
    <row r="17" spans="2:26" ht="9.9499999999999993" customHeight="1" x14ac:dyDescent="0.2">
      <c r="B17" s="10">
        <v>15</v>
      </c>
      <c r="C17" s="8">
        <v>15</v>
      </c>
      <c r="D17" s="8"/>
      <c r="E17" s="14"/>
      <c r="F17" s="4"/>
      <c r="I17" s="5"/>
      <c r="J17" s="5"/>
      <c r="K17" s="5"/>
      <c r="L17" s="5"/>
      <c r="M17" s="5"/>
      <c r="N17" s="5"/>
      <c r="O17" s="5"/>
      <c r="P17" s="5"/>
      <c r="Q17" s="5"/>
      <c r="R17" s="5"/>
      <c r="S17" s="5"/>
      <c r="T17" s="5"/>
      <c r="U17" s="5"/>
      <c r="V17" s="5"/>
      <c r="W17" s="5"/>
      <c r="X17" s="5"/>
      <c r="Y17" s="5"/>
      <c r="Z17" s="5"/>
    </row>
    <row r="18" spans="2:26" ht="9.9499999999999993" customHeight="1" x14ac:dyDescent="0.2">
      <c r="B18" s="10">
        <v>16</v>
      </c>
      <c r="C18" s="8">
        <v>16</v>
      </c>
      <c r="D18" s="8"/>
      <c r="E18" s="14"/>
      <c r="F18" s="4"/>
      <c r="I18" s="5"/>
      <c r="J18" s="5"/>
      <c r="K18" s="5"/>
      <c r="L18" s="5"/>
      <c r="M18" s="5"/>
      <c r="N18" s="5"/>
      <c r="O18" s="5"/>
      <c r="P18" s="5"/>
      <c r="Q18" s="5"/>
      <c r="R18" s="5"/>
      <c r="S18" s="5"/>
      <c r="T18" s="5"/>
      <c r="U18" s="5"/>
      <c r="V18" s="5"/>
      <c r="W18" s="5"/>
      <c r="X18" s="5"/>
      <c r="Y18" s="5"/>
      <c r="Z18" s="5"/>
    </row>
    <row r="19" spans="2:26" ht="9.9499999999999993" customHeight="1" x14ac:dyDescent="0.2">
      <c r="B19" s="10">
        <v>17</v>
      </c>
      <c r="C19" s="8">
        <v>17</v>
      </c>
      <c r="D19" s="8"/>
      <c r="E19" s="14"/>
      <c r="F19" s="4"/>
      <c r="I19" s="5"/>
      <c r="J19" s="5"/>
      <c r="K19" s="5"/>
      <c r="L19" s="5"/>
      <c r="M19" s="5"/>
      <c r="N19" s="5"/>
      <c r="O19" s="5"/>
      <c r="P19" s="5"/>
      <c r="Q19" s="5"/>
      <c r="R19" s="5"/>
      <c r="S19" s="5"/>
      <c r="T19" s="5"/>
      <c r="U19" s="5"/>
      <c r="V19" s="5"/>
      <c r="W19" s="5"/>
      <c r="X19" s="5"/>
      <c r="Y19" s="5"/>
      <c r="Z19" s="5"/>
    </row>
    <row r="20" spans="2:26" ht="9.9499999999999993" customHeight="1" x14ac:dyDescent="0.2">
      <c r="B20" s="10">
        <v>18</v>
      </c>
      <c r="C20" s="8">
        <v>18</v>
      </c>
      <c r="D20" s="8"/>
      <c r="E20" s="14"/>
      <c r="I20" s="5"/>
      <c r="J20" s="5"/>
      <c r="K20" s="5"/>
      <c r="L20" s="5"/>
      <c r="M20" s="5"/>
      <c r="N20" s="5"/>
      <c r="O20" s="5"/>
      <c r="P20" s="5"/>
      <c r="Q20" s="5"/>
      <c r="R20" s="5"/>
      <c r="S20" s="5"/>
      <c r="T20" s="5"/>
      <c r="U20" s="5"/>
      <c r="V20" s="5"/>
      <c r="W20" s="5"/>
      <c r="X20" s="5"/>
      <c r="Y20" s="5"/>
      <c r="Z20" s="5"/>
    </row>
    <row r="21" spans="2:26" ht="9.9499999999999993" customHeight="1" x14ac:dyDescent="0.2">
      <c r="B21" s="10">
        <v>19</v>
      </c>
      <c r="C21" s="8">
        <v>19</v>
      </c>
      <c r="D21" s="8"/>
      <c r="E21" s="14"/>
      <c r="I21" s="5"/>
      <c r="J21" s="5"/>
      <c r="K21" s="5"/>
      <c r="L21" s="5"/>
      <c r="M21" s="5"/>
      <c r="N21" s="5"/>
      <c r="O21" s="5"/>
      <c r="P21" s="5"/>
      <c r="Q21" s="5"/>
      <c r="R21" s="5"/>
      <c r="S21" s="5"/>
      <c r="T21" s="5"/>
      <c r="U21" s="5"/>
      <c r="V21" s="5"/>
      <c r="W21" s="5"/>
      <c r="X21" s="5"/>
      <c r="Y21" s="5"/>
      <c r="Z21" s="5"/>
    </row>
    <row r="22" spans="2:26" ht="9.9499999999999993" customHeight="1" x14ac:dyDescent="0.2">
      <c r="B22" s="10">
        <v>20</v>
      </c>
      <c r="C22" s="8">
        <v>20</v>
      </c>
      <c r="D22" s="8"/>
      <c r="E22" s="14"/>
    </row>
    <row r="23" spans="2:26" ht="9.9499999999999993" customHeight="1" x14ac:dyDescent="0.2">
      <c r="B23" s="10">
        <v>21</v>
      </c>
      <c r="C23" s="8">
        <v>21</v>
      </c>
      <c r="D23" s="8"/>
      <c r="E23" s="14"/>
    </row>
    <row r="24" spans="2:26" ht="9.9499999999999993" customHeight="1" x14ac:dyDescent="0.2">
      <c r="B24" s="10">
        <v>22</v>
      </c>
      <c r="C24" s="8">
        <v>22</v>
      </c>
      <c r="D24" s="8"/>
      <c r="E24" s="14"/>
    </row>
    <row r="25" spans="2:26" ht="9.9499999999999993" customHeight="1" x14ac:dyDescent="0.2">
      <c r="B25" s="10">
        <v>23</v>
      </c>
      <c r="C25" s="8">
        <v>23</v>
      </c>
      <c r="D25" s="8"/>
      <c r="E25" s="14"/>
    </row>
    <row r="26" spans="2:26" ht="9.9499999999999993" customHeight="1" x14ac:dyDescent="0.2">
      <c r="B26" s="10">
        <v>24</v>
      </c>
      <c r="C26" s="8">
        <v>24</v>
      </c>
      <c r="D26" s="8"/>
      <c r="E26" s="14"/>
    </row>
    <row r="27" spans="2:26" ht="9.9499999999999993" customHeight="1" x14ac:dyDescent="0.2">
      <c r="B27" s="10">
        <v>25</v>
      </c>
      <c r="C27" s="8">
        <v>25</v>
      </c>
      <c r="D27" s="8"/>
      <c r="E27" s="14"/>
      <c r="F27" s="5" t="s">
        <v>4</v>
      </c>
    </row>
    <row r="28" spans="2:26" ht="9.9499999999999993" customHeight="1" x14ac:dyDescent="0.2">
      <c r="B28" s="10">
        <v>26</v>
      </c>
      <c r="C28" s="8">
        <v>26</v>
      </c>
      <c r="D28" s="8"/>
      <c r="E28" s="14"/>
    </row>
    <row r="29" spans="2:26" ht="9.9499999999999993" customHeight="1" x14ac:dyDescent="0.2">
      <c r="B29" s="10">
        <v>27</v>
      </c>
      <c r="C29" s="8">
        <v>27</v>
      </c>
      <c r="D29" s="8"/>
      <c r="E29" s="14"/>
    </row>
    <row r="30" spans="2:26" ht="9.9499999999999993" customHeight="1" x14ac:dyDescent="0.2">
      <c r="B30" s="10">
        <v>28</v>
      </c>
      <c r="C30" s="8">
        <v>28</v>
      </c>
      <c r="D30" s="8"/>
      <c r="E30" s="14"/>
    </row>
    <row r="31" spans="2:26" ht="9.9499999999999993" customHeight="1" x14ac:dyDescent="0.2">
      <c r="B31" s="10">
        <v>29</v>
      </c>
      <c r="C31" s="8">
        <v>29</v>
      </c>
      <c r="D31" s="8"/>
      <c r="E31" s="14"/>
    </row>
    <row r="32" spans="2:26" ht="9.9499999999999993" customHeight="1" x14ac:dyDescent="0.2">
      <c r="B32" s="10">
        <v>30</v>
      </c>
      <c r="C32" s="8">
        <v>30</v>
      </c>
      <c r="D32" s="8"/>
      <c r="E32" s="14"/>
    </row>
    <row r="33" spans="2:5" ht="9.9499999999999993" customHeight="1" x14ac:dyDescent="0.2">
      <c r="B33" s="10">
        <v>31</v>
      </c>
      <c r="C33" s="8">
        <v>31</v>
      </c>
      <c r="D33" s="8"/>
      <c r="E33" s="14"/>
    </row>
    <row r="34" spans="2:5" ht="9.9499999999999993" customHeight="1" x14ac:dyDescent="0.2">
      <c r="B34" s="10">
        <v>32</v>
      </c>
      <c r="C34" s="8">
        <v>32</v>
      </c>
      <c r="D34" s="8"/>
      <c r="E34" s="14"/>
    </row>
    <row r="35" spans="2:5" ht="9.9499999999999993" customHeight="1" x14ac:dyDescent="0.2">
      <c r="B35" s="10">
        <v>33</v>
      </c>
      <c r="C35" s="8">
        <v>33</v>
      </c>
      <c r="D35" s="8"/>
      <c r="E35" s="14"/>
    </row>
    <row r="36" spans="2:5" ht="9.9499999999999993" customHeight="1" x14ac:dyDescent="0.2">
      <c r="B36" s="10">
        <v>34</v>
      </c>
      <c r="C36" s="8">
        <v>34</v>
      </c>
      <c r="D36" s="8"/>
      <c r="E36" s="14"/>
    </row>
    <row r="37" spans="2:5" ht="9.9499999999999993" customHeight="1" x14ac:dyDescent="0.2">
      <c r="B37" s="10">
        <v>35</v>
      </c>
      <c r="C37" s="8">
        <v>35</v>
      </c>
      <c r="D37" s="8"/>
      <c r="E37" s="14"/>
    </row>
    <row r="38" spans="2:5" ht="9.9499999999999993" customHeight="1" x14ac:dyDescent="0.2">
      <c r="B38" s="10">
        <v>36</v>
      </c>
      <c r="C38" s="8">
        <v>36</v>
      </c>
      <c r="D38" s="8"/>
      <c r="E38" s="14"/>
    </row>
    <row r="39" spans="2:5" ht="9.9499999999999993" customHeight="1" x14ac:dyDescent="0.2">
      <c r="B39" s="10">
        <v>37</v>
      </c>
      <c r="C39" s="8">
        <v>37</v>
      </c>
      <c r="D39" s="8"/>
      <c r="E39" s="14"/>
    </row>
    <row r="40" spans="2:5" ht="9.9499999999999993" customHeight="1" x14ac:dyDescent="0.2">
      <c r="B40" s="10">
        <v>38</v>
      </c>
      <c r="C40" s="8">
        <v>38</v>
      </c>
      <c r="D40" s="8"/>
      <c r="E40" s="14"/>
    </row>
    <row r="41" spans="2:5" ht="9.9499999999999993" customHeight="1" x14ac:dyDescent="0.2">
      <c r="B41" s="10">
        <v>39</v>
      </c>
      <c r="C41" s="8">
        <v>39</v>
      </c>
      <c r="D41" s="8"/>
      <c r="E41" s="14"/>
    </row>
    <row r="42" spans="2:5" ht="9.9499999999999993" customHeight="1" x14ac:dyDescent="0.2">
      <c r="B42" s="10">
        <v>40</v>
      </c>
      <c r="C42" s="8">
        <v>40</v>
      </c>
      <c r="D42" s="8"/>
      <c r="E42" s="14"/>
    </row>
    <row r="43" spans="2:5" ht="9.9499999999999993" customHeight="1" x14ac:dyDescent="0.2">
      <c r="B43" s="10">
        <v>41</v>
      </c>
      <c r="C43" s="8">
        <v>41</v>
      </c>
      <c r="D43" s="8"/>
      <c r="E43" s="14"/>
    </row>
    <row r="44" spans="2:5" ht="9.9499999999999993" customHeight="1" x14ac:dyDescent="0.2">
      <c r="B44" s="10">
        <v>42</v>
      </c>
      <c r="C44" s="8">
        <v>42</v>
      </c>
      <c r="D44" s="8"/>
      <c r="E44" s="14"/>
    </row>
    <row r="45" spans="2:5" ht="9.9499999999999993" customHeight="1" x14ac:dyDescent="0.2">
      <c r="B45" s="10">
        <v>43</v>
      </c>
      <c r="C45" s="8">
        <v>43</v>
      </c>
      <c r="D45" s="8"/>
      <c r="E45" s="14"/>
    </row>
    <row r="46" spans="2:5" ht="9.9499999999999993" customHeight="1" x14ac:dyDescent="0.2">
      <c r="B46" s="10">
        <v>44</v>
      </c>
      <c r="C46" s="8">
        <v>44</v>
      </c>
      <c r="D46" s="8"/>
      <c r="E46" s="14"/>
    </row>
    <row r="47" spans="2:5" ht="9.9499999999999993" customHeight="1" x14ac:dyDescent="0.2">
      <c r="B47" s="10">
        <v>45</v>
      </c>
      <c r="C47" s="8">
        <v>45</v>
      </c>
      <c r="D47" s="8"/>
      <c r="E47" s="14"/>
    </row>
    <row r="48" spans="2:5" ht="9.9499999999999993" customHeight="1" x14ac:dyDescent="0.2">
      <c r="B48" s="10">
        <v>46</v>
      </c>
      <c r="C48" s="8">
        <v>46</v>
      </c>
      <c r="D48" s="8"/>
      <c r="E48" s="14"/>
    </row>
    <row r="49" spans="2:5" ht="9.9499999999999993" customHeight="1" x14ac:dyDescent="0.2">
      <c r="B49" s="10">
        <v>47</v>
      </c>
      <c r="C49" s="8">
        <v>47</v>
      </c>
      <c r="D49" s="8"/>
      <c r="E49" s="14"/>
    </row>
    <row r="50" spans="2:5" ht="9.9499999999999993" customHeight="1" x14ac:dyDescent="0.2">
      <c r="B50" s="10">
        <v>48</v>
      </c>
      <c r="C50" s="8">
        <v>48</v>
      </c>
      <c r="D50" s="8"/>
      <c r="E50" s="14"/>
    </row>
    <row r="51" spans="2:5" ht="9.9499999999999993" customHeight="1" x14ac:dyDescent="0.2">
      <c r="B51" s="10">
        <v>49</v>
      </c>
      <c r="C51" s="8">
        <v>49</v>
      </c>
      <c r="D51" s="8"/>
      <c r="E51" s="14"/>
    </row>
    <row r="52" spans="2:5" ht="9.9499999999999993" customHeight="1" x14ac:dyDescent="0.2">
      <c r="B52" s="11">
        <v>50</v>
      </c>
      <c r="C52" s="8">
        <v>50</v>
      </c>
      <c r="D52" s="8"/>
      <c r="E52" s="14"/>
    </row>
    <row r="53" spans="2:5" ht="9.9499999999999993" customHeight="1" x14ac:dyDescent="0.2"/>
    <row r="54" spans="2:5" ht="9.9499999999999993" customHeight="1" x14ac:dyDescent="0.2"/>
    <row r="55" spans="2:5" ht="9.9499999999999993" customHeight="1" x14ac:dyDescent="0.2"/>
    <row r="56" spans="2:5" ht="9.9499999999999993" customHeight="1" x14ac:dyDescent="0.2"/>
    <row r="57" spans="2:5" ht="9.9499999999999993" customHeight="1" x14ac:dyDescent="0.2"/>
    <row r="58" spans="2:5" ht="9.9499999999999993" customHeight="1" x14ac:dyDescent="0.2"/>
    <row r="59" spans="2:5" ht="9.9499999999999993" customHeight="1" x14ac:dyDescent="0.2"/>
    <row r="60" spans="2:5" ht="9.9499999999999993" customHeight="1" x14ac:dyDescent="0.2"/>
    <row r="61" spans="2:5" ht="9.9499999999999993" customHeight="1" x14ac:dyDescent="0.2"/>
    <row r="62" spans="2:5" ht="9.9499999999999993" customHeight="1" x14ac:dyDescent="0.2"/>
    <row r="63" spans="2:5" ht="9.9499999999999993" customHeight="1" x14ac:dyDescent="0.2"/>
    <row r="64" spans="2:5"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4</xdr:col>
                    <xdr:colOff>47625</xdr:colOff>
                    <xdr:row>14</xdr:row>
                    <xdr:rowOff>28575</xdr:rowOff>
                  </from>
                  <to>
                    <xdr:col>7</xdr:col>
                    <xdr:colOff>542925</xdr:colOff>
                    <xdr:row>15</xdr:row>
                    <xdr:rowOff>95250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4</xdr:col>
                    <xdr:colOff>85725</xdr:colOff>
                    <xdr:row>8</xdr:row>
                    <xdr:rowOff>9525</xdr:rowOff>
                  </from>
                  <to>
                    <xdr:col>7</xdr:col>
                    <xdr:colOff>590550</xdr:colOff>
                    <xdr:row>10</xdr:row>
                    <xdr:rowOff>9525</xdr:rowOff>
                  </to>
                </anchor>
              </controlPr>
            </control>
          </mc:Choice>
        </mc:AlternateContent>
        <mc:AlternateContent xmlns:mc="http://schemas.openxmlformats.org/markup-compatibility/2006">
          <mc:Choice Requires="x14">
            <control shapeId="1027" r:id="rId6" name="Button 3">
              <controlPr defaultSize="0" print="0" autoFill="0" autoPict="0">
                <anchor moveWithCells="1" sizeWithCells="1">
                  <from>
                    <xdr:col>4</xdr:col>
                    <xdr:colOff>85725</xdr:colOff>
                    <xdr:row>10</xdr:row>
                    <xdr:rowOff>114300</xdr:rowOff>
                  </from>
                  <to>
                    <xdr:col>7</xdr:col>
                    <xdr:colOff>571500</xdr:colOff>
                    <xdr:row>12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87111-8AB3-4446-9B99-3C94791AA50C}">
  <sheetPr codeName="Sheet2"/>
  <dimension ref="B2:BC22"/>
  <sheetViews>
    <sheetView showGridLines="0" workbookViewId="0">
      <selection activeCell="P22" sqref="P22"/>
    </sheetView>
  </sheetViews>
  <sheetFormatPr defaultRowHeight="15" x14ac:dyDescent="0.25"/>
  <cols>
    <col min="1" max="1" width="3.42578125" customWidth="1"/>
    <col min="2" max="53" width="3.42578125" style="15" customWidth="1"/>
    <col min="54" max="230" width="3.42578125" customWidth="1"/>
  </cols>
  <sheetData>
    <row r="2" spans="3:55" x14ac:dyDescent="0.25">
      <c r="P2" s="17">
        <v>11</v>
      </c>
      <c r="Q2" s="17">
        <v>16</v>
      </c>
      <c r="R2" s="17">
        <v>22</v>
      </c>
      <c r="S2" s="17">
        <v>4</v>
      </c>
      <c r="T2" s="17">
        <v>15</v>
      </c>
      <c r="U2" s="17">
        <v>23</v>
      </c>
      <c r="V2" s="17">
        <v>5</v>
      </c>
      <c r="W2" s="17">
        <v>1</v>
      </c>
      <c r="X2" s="17">
        <v>17</v>
      </c>
      <c r="Y2" s="17">
        <v>14</v>
      </c>
      <c r="Z2" s="17">
        <v>25</v>
      </c>
      <c r="AA2" s="17">
        <v>21</v>
      </c>
      <c r="AB2" s="17">
        <v>3</v>
      </c>
      <c r="AC2" s="16">
        <v>10</v>
      </c>
      <c r="AD2" s="16">
        <v>18</v>
      </c>
      <c r="AE2" s="16">
        <v>6</v>
      </c>
      <c r="AF2" s="16">
        <v>24</v>
      </c>
      <c r="AG2" s="16">
        <v>9</v>
      </c>
      <c r="AH2" s="16">
        <v>20</v>
      </c>
      <c r="AI2" s="16">
        <v>19</v>
      </c>
      <c r="AJ2" s="16">
        <v>7</v>
      </c>
      <c r="AK2" s="16">
        <v>2</v>
      </c>
      <c r="AL2" s="16">
        <v>12</v>
      </c>
      <c r="AM2" s="16">
        <v>8</v>
      </c>
      <c r="AN2" s="16">
        <v>13</v>
      </c>
      <c r="BC2" t="s">
        <v>7</v>
      </c>
    </row>
    <row r="3" spans="3:55" x14ac:dyDescent="0.25">
      <c r="BB3" s="15"/>
    </row>
    <row r="4" spans="3:55" x14ac:dyDescent="0.25">
      <c r="I4" s="17">
        <v>11</v>
      </c>
      <c r="J4" s="17">
        <v>16</v>
      </c>
      <c r="K4" s="17">
        <v>22</v>
      </c>
      <c r="L4" s="17">
        <v>4</v>
      </c>
      <c r="M4" s="17">
        <v>15</v>
      </c>
      <c r="N4" s="17">
        <v>23</v>
      </c>
      <c r="O4" s="16">
        <v>5</v>
      </c>
      <c r="P4" s="16">
        <v>1</v>
      </c>
      <c r="Q4" s="16">
        <v>17</v>
      </c>
      <c r="R4" s="16">
        <v>14</v>
      </c>
      <c r="S4" s="16">
        <v>25</v>
      </c>
      <c r="T4" s="16">
        <v>21</v>
      </c>
      <c r="U4" s="16">
        <v>3</v>
      </c>
      <c r="AI4" s="17">
        <v>10</v>
      </c>
      <c r="AJ4" s="17">
        <v>18</v>
      </c>
      <c r="AK4" s="17">
        <v>6</v>
      </c>
      <c r="AL4" s="17">
        <v>24</v>
      </c>
      <c r="AM4" s="17">
        <v>9</v>
      </c>
      <c r="AN4" s="17">
        <v>20</v>
      </c>
      <c r="AO4" s="16">
        <v>19</v>
      </c>
      <c r="AP4" s="16">
        <v>7</v>
      </c>
      <c r="AQ4" s="16">
        <v>2</v>
      </c>
      <c r="AR4" s="16">
        <v>12</v>
      </c>
      <c r="AS4" s="16">
        <v>8</v>
      </c>
      <c r="AT4" s="16">
        <v>13</v>
      </c>
      <c r="BB4" s="15"/>
      <c r="BC4" t="s">
        <v>7</v>
      </c>
    </row>
    <row r="5" spans="3:55" x14ac:dyDescent="0.25">
      <c r="BB5" s="15"/>
    </row>
    <row r="6" spans="3:55" x14ac:dyDescent="0.25">
      <c r="F6" s="17">
        <v>11</v>
      </c>
      <c r="G6" s="17">
        <v>16</v>
      </c>
      <c r="H6" s="17">
        <v>22</v>
      </c>
      <c r="I6" s="16">
        <v>4</v>
      </c>
      <c r="J6" s="16">
        <v>15</v>
      </c>
      <c r="K6" s="16">
        <v>23</v>
      </c>
      <c r="R6" s="17">
        <v>5</v>
      </c>
      <c r="S6" s="17">
        <v>1</v>
      </c>
      <c r="T6" s="17">
        <v>17</v>
      </c>
      <c r="U6" s="17">
        <v>14</v>
      </c>
      <c r="V6" s="16">
        <v>25</v>
      </c>
      <c r="W6" s="16">
        <v>21</v>
      </c>
      <c r="X6" s="16">
        <v>3</v>
      </c>
      <c r="AG6" s="17">
        <v>10</v>
      </c>
      <c r="AH6" s="17">
        <v>18</v>
      </c>
      <c r="AI6" s="17">
        <v>6</v>
      </c>
      <c r="AJ6" s="16">
        <v>24</v>
      </c>
      <c r="AK6" s="16">
        <v>9</v>
      </c>
      <c r="AL6" s="16">
        <v>20</v>
      </c>
      <c r="AQ6" s="17">
        <v>19</v>
      </c>
      <c r="AR6" s="17">
        <v>7</v>
      </c>
      <c r="AS6" s="17">
        <v>2</v>
      </c>
      <c r="AT6" s="16">
        <v>12</v>
      </c>
      <c r="AU6" s="16">
        <v>8</v>
      </c>
      <c r="AV6" s="16">
        <v>13</v>
      </c>
      <c r="BB6" s="15"/>
      <c r="BC6" t="s">
        <v>7</v>
      </c>
    </row>
    <row r="7" spans="3:55" x14ac:dyDescent="0.25">
      <c r="BB7" s="15"/>
    </row>
    <row r="8" spans="3:55" x14ac:dyDescent="0.25">
      <c r="E8" s="17">
        <v>11</v>
      </c>
      <c r="F8" s="17">
        <v>16</v>
      </c>
      <c r="G8" s="16">
        <v>22</v>
      </c>
      <c r="J8" s="17">
        <v>4</v>
      </c>
      <c r="K8" s="17">
        <v>15</v>
      </c>
      <c r="L8" s="16">
        <v>23</v>
      </c>
      <c r="P8" s="17">
        <v>5</v>
      </c>
      <c r="Q8" s="17">
        <v>1</v>
      </c>
      <c r="R8" s="16">
        <v>17</v>
      </c>
      <c r="S8" s="16">
        <v>14</v>
      </c>
      <c r="X8" s="17">
        <v>25</v>
      </c>
      <c r="Y8" s="17">
        <v>21</v>
      </c>
      <c r="Z8" s="16">
        <v>3</v>
      </c>
      <c r="AF8" s="17">
        <v>10</v>
      </c>
      <c r="AG8" s="17">
        <v>18</v>
      </c>
      <c r="AH8" s="16">
        <v>6</v>
      </c>
      <c r="AI8" s="19"/>
      <c r="AK8" s="17">
        <v>24</v>
      </c>
      <c r="AL8" s="17">
        <v>9</v>
      </c>
      <c r="AM8" s="16">
        <v>20</v>
      </c>
      <c r="AP8" s="17">
        <v>19</v>
      </c>
      <c r="AQ8" s="17">
        <v>7</v>
      </c>
      <c r="AR8" s="16">
        <v>2</v>
      </c>
      <c r="AV8" s="17">
        <v>12</v>
      </c>
      <c r="AW8" s="17">
        <v>8</v>
      </c>
      <c r="AX8" s="16">
        <v>13</v>
      </c>
      <c r="BB8" s="15"/>
      <c r="BC8" t="s">
        <v>7</v>
      </c>
    </row>
    <row r="9" spans="3:55" x14ac:dyDescent="0.25">
      <c r="BB9" s="15"/>
    </row>
    <row r="10" spans="3:55" x14ac:dyDescent="0.25">
      <c r="D10" s="17">
        <v>11</v>
      </c>
      <c r="E10" s="16">
        <v>16</v>
      </c>
      <c r="G10" s="18">
        <v>22</v>
      </c>
      <c r="I10" s="17">
        <v>4</v>
      </c>
      <c r="J10" s="16">
        <v>15</v>
      </c>
      <c r="M10" s="18">
        <v>23</v>
      </c>
      <c r="O10" s="17">
        <v>5</v>
      </c>
      <c r="P10" s="16">
        <v>1</v>
      </c>
      <c r="T10" s="17">
        <v>17</v>
      </c>
      <c r="U10" s="16">
        <v>14</v>
      </c>
      <c r="X10" s="17">
        <v>25</v>
      </c>
      <c r="Y10" s="16">
        <v>21</v>
      </c>
      <c r="AA10" s="18">
        <v>3</v>
      </c>
      <c r="AE10" s="17">
        <v>10</v>
      </c>
      <c r="AF10" s="16">
        <v>18</v>
      </c>
      <c r="AH10" s="18">
        <v>6</v>
      </c>
      <c r="AJ10" s="17">
        <v>24</v>
      </c>
      <c r="AK10" s="16">
        <v>9</v>
      </c>
      <c r="AN10" s="18">
        <v>20</v>
      </c>
      <c r="AP10" s="17">
        <v>19</v>
      </c>
      <c r="AQ10" s="16">
        <v>7</v>
      </c>
      <c r="AT10" s="18">
        <v>2</v>
      </c>
      <c r="AV10" s="17">
        <v>12</v>
      </c>
      <c r="AW10" s="16">
        <v>8</v>
      </c>
      <c r="AY10" s="18">
        <v>13</v>
      </c>
      <c r="BB10" s="15"/>
      <c r="BC10" t="s">
        <v>7</v>
      </c>
    </row>
    <row r="11" spans="3:55" x14ac:dyDescent="0.25">
      <c r="BB11" s="15"/>
    </row>
    <row r="12" spans="3:55" x14ac:dyDescent="0.25">
      <c r="C12" s="18">
        <v>11</v>
      </c>
      <c r="E12" s="18">
        <v>16</v>
      </c>
      <c r="G12" s="18">
        <v>22</v>
      </c>
      <c r="I12" s="18">
        <v>4</v>
      </c>
      <c r="K12" s="18">
        <v>15</v>
      </c>
      <c r="M12" s="18">
        <v>23</v>
      </c>
      <c r="O12" s="18">
        <v>5</v>
      </c>
      <c r="Q12" s="18">
        <v>1</v>
      </c>
      <c r="S12" s="18">
        <v>17</v>
      </c>
      <c r="U12" s="18">
        <v>14</v>
      </c>
      <c r="W12" s="18">
        <v>25</v>
      </c>
      <c r="Y12" s="18">
        <v>21</v>
      </c>
      <c r="AA12" s="18">
        <v>3</v>
      </c>
      <c r="AD12" s="18">
        <v>10</v>
      </c>
      <c r="AF12" s="18">
        <v>18</v>
      </c>
      <c r="AH12" s="18">
        <v>6</v>
      </c>
      <c r="AJ12" s="18">
        <v>24</v>
      </c>
      <c r="AL12" s="18">
        <v>9</v>
      </c>
      <c r="AN12" s="18">
        <v>20</v>
      </c>
      <c r="AP12" s="18">
        <v>19</v>
      </c>
      <c r="AR12" s="18">
        <v>7</v>
      </c>
      <c r="AT12" s="18">
        <v>2</v>
      </c>
      <c r="AV12" s="18">
        <v>12</v>
      </c>
      <c r="AX12" s="18">
        <v>8</v>
      </c>
      <c r="AZ12" s="18">
        <v>13</v>
      </c>
      <c r="BB12" s="15"/>
    </row>
    <row r="13" spans="3:55" x14ac:dyDescent="0.25">
      <c r="BB13" s="15"/>
    </row>
    <row r="14" spans="3:55" x14ac:dyDescent="0.25">
      <c r="D14" s="17">
        <v>11</v>
      </c>
      <c r="E14" s="16">
        <v>16</v>
      </c>
      <c r="G14" s="18">
        <v>22</v>
      </c>
      <c r="I14" s="17">
        <v>4</v>
      </c>
      <c r="J14" s="16">
        <v>15</v>
      </c>
      <c r="M14" s="18">
        <v>23</v>
      </c>
      <c r="O14" s="17">
        <v>1</v>
      </c>
      <c r="P14" s="16">
        <v>5</v>
      </c>
      <c r="T14" s="17">
        <v>14</v>
      </c>
      <c r="U14" s="16">
        <v>17</v>
      </c>
      <c r="X14" s="17">
        <v>21</v>
      </c>
      <c r="Y14" s="16">
        <v>25</v>
      </c>
      <c r="AA14" s="18">
        <v>3</v>
      </c>
      <c r="AE14" s="17">
        <v>10</v>
      </c>
      <c r="AF14" s="16">
        <v>18</v>
      </c>
      <c r="AI14" s="18">
        <v>6</v>
      </c>
      <c r="AK14" s="17">
        <v>9</v>
      </c>
      <c r="AL14" s="16">
        <v>24</v>
      </c>
      <c r="AN14" s="18">
        <v>20</v>
      </c>
      <c r="AP14" s="17">
        <v>7</v>
      </c>
      <c r="AQ14" s="16">
        <v>19</v>
      </c>
      <c r="AT14" s="18">
        <v>2</v>
      </c>
      <c r="AV14" s="17">
        <v>8</v>
      </c>
      <c r="AW14" s="16">
        <v>12</v>
      </c>
      <c r="AY14" s="18">
        <v>13</v>
      </c>
      <c r="BB14" s="15"/>
      <c r="BC14" t="s">
        <v>6</v>
      </c>
    </row>
    <row r="15" spans="3:55" x14ac:dyDescent="0.25">
      <c r="BB15" s="15"/>
    </row>
    <row r="16" spans="3:55" x14ac:dyDescent="0.25">
      <c r="E16" s="17">
        <v>11</v>
      </c>
      <c r="F16" s="17">
        <v>16</v>
      </c>
      <c r="G16" s="16">
        <v>22</v>
      </c>
      <c r="J16" s="17">
        <v>4</v>
      </c>
      <c r="K16" s="17">
        <v>15</v>
      </c>
      <c r="L16" s="16">
        <v>23</v>
      </c>
      <c r="P16" s="17">
        <v>1</v>
      </c>
      <c r="Q16" s="17">
        <v>5</v>
      </c>
      <c r="R16" s="16">
        <v>14</v>
      </c>
      <c r="S16" s="16">
        <v>17</v>
      </c>
      <c r="X16" s="17">
        <v>3</v>
      </c>
      <c r="Y16" s="17">
        <v>21</v>
      </c>
      <c r="Z16" s="16">
        <v>25</v>
      </c>
      <c r="AF16" s="17">
        <v>6</v>
      </c>
      <c r="AG16" s="17">
        <v>10</v>
      </c>
      <c r="AH16" s="16">
        <v>18</v>
      </c>
      <c r="AI16" s="19"/>
      <c r="AK16" s="17">
        <v>9</v>
      </c>
      <c r="AL16" s="17">
        <v>20</v>
      </c>
      <c r="AM16" s="16">
        <v>24</v>
      </c>
      <c r="AP16" s="17">
        <v>2</v>
      </c>
      <c r="AQ16" s="17">
        <v>7</v>
      </c>
      <c r="AR16" s="16">
        <v>19</v>
      </c>
      <c r="AV16" s="17">
        <v>8</v>
      </c>
      <c r="AW16" s="17">
        <v>12</v>
      </c>
      <c r="AX16" s="16">
        <v>13</v>
      </c>
      <c r="BB16" s="15"/>
      <c r="BC16" t="s">
        <v>6</v>
      </c>
    </row>
    <row r="17" spans="6:55" x14ac:dyDescent="0.25">
      <c r="BB17" s="15"/>
    </row>
    <row r="18" spans="6:55" x14ac:dyDescent="0.25">
      <c r="F18" s="17">
        <v>4</v>
      </c>
      <c r="G18" s="17">
        <v>11</v>
      </c>
      <c r="H18" s="17">
        <v>15</v>
      </c>
      <c r="I18" s="16">
        <v>16</v>
      </c>
      <c r="J18" s="16">
        <v>22</v>
      </c>
      <c r="K18" s="16">
        <v>23</v>
      </c>
      <c r="R18" s="17">
        <v>1</v>
      </c>
      <c r="S18" s="17">
        <v>3</v>
      </c>
      <c r="T18" s="17">
        <v>5</v>
      </c>
      <c r="U18" s="17">
        <v>14</v>
      </c>
      <c r="V18" s="16">
        <v>17</v>
      </c>
      <c r="W18" s="16">
        <v>21</v>
      </c>
      <c r="X18" s="16">
        <v>25</v>
      </c>
      <c r="AG18" s="17">
        <v>6</v>
      </c>
      <c r="AH18" s="17">
        <v>9</v>
      </c>
      <c r="AI18" s="17">
        <v>10</v>
      </c>
      <c r="AJ18" s="16">
        <v>18</v>
      </c>
      <c r="AK18" s="16">
        <v>20</v>
      </c>
      <c r="AL18" s="16">
        <v>24</v>
      </c>
      <c r="AQ18" s="17">
        <v>2</v>
      </c>
      <c r="AR18" s="17">
        <v>7</v>
      </c>
      <c r="AS18" s="17">
        <v>8</v>
      </c>
      <c r="AT18" s="16">
        <v>12</v>
      </c>
      <c r="AU18" s="16">
        <v>13</v>
      </c>
      <c r="AV18" s="16">
        <v>19</v>
      </c>
      <c r="BB18" s="15"/>
      <c r="BC18" t="s">
        <v>6</v>
      </c>
    </row>
    <row r="19" spans="6:55" x14ac:dyDescent="0.25">
      <c r="BB19" s="15"/>
    </row>
    <row r="20" spans="6:55" x14ac:dyDescent="0.25">
      <c r="I20" s="17">
        <v>1</v>
      </c>
      <c r="J20" s="17">
        <v>3</v>
      </c>
      <c r="K20" s="17">
        <v>4</v>
      </c>
      <c r="L20" s="17">
        <v>5</v>
      </c>
      <c r="M20" s="17">
        <v>11</v>
      </c>
      <c r="N20" s="17">
        <v>14</v>
      </c>
      <c r="O20" s="16">
        <v>15</v>
      </c>
      <c r="P20" s="16">
        <v>16</v>
      </c>
      <c r="Q20" s="16">
        <v>17</v>
      </c>
      <c r="R20" s="16">
        <v>21</v>
      </c>
      <c r="S20" s="16">
        <v>22</v>
      </c>
      <c r="T20" s="16">
        <v>23</v>
      </c>
      <c r="U20" s="16">
        <v>25</v>
      </c>
      <c r="AI20" s="17">
        <v>2</v>
      </c>
      <c r="AJ20" s="17">
        <v>6</v>
      </c>
      <c r="AK20" s="17">
        <v>7</v>
      </c>
      <c r="AL20" s="17">
        <v>8</v>
      </c>
      <c r="AM20" s="17">
        <v>9</v>
      </c>
      <c r="AN20" s="17">
        <v>10</v>
      </c>
      <c r="AO20" s="16">
        <v>12</v>
      </c>
      <c r="AP20" s="16">
        <v>13</v>
      </c>
      <c r="AQ20" s="16">
        <v>18</v>
      </c>
      <c r="AR20" s="16">
        <v>19</v>
      </c>
      <c r="AS20" s="16">
        <v>20</v>
      </c>
      <c r="AT20" s="16">
        <v>24</v>
      </c>
      <c r="BB20" s="15"/>
      <c r="BC20" t="s">
        <v>6</v>
      </c>
    </row>
    <row r="21" spans="6:55" x14ac:dyDescent="0.25">
      <c r="BB21" s="15"/>
    </row>
    <row r="22" spans="6:55" x14ac:dyDescent="0.25">
      <c r="P22" s="17">
        <v>1</v>
      </c>
      <c r="Q22" s="17">
        <v>2</v>
      </c>
      <c r="R22" s="17">
        <v>3</v>
      </c>
      <c r="S22" s="17">
        <v>4</v>
      </c>
      <c r="T22" s="17">
        <v>5</v>
      </c>
      <c r="U22" s="17">
        <v>6</v>
      </c>
      <c r="V22" s="17">
        <v>7</v>
      </c>
      <c r="W22" s="17">
        <v>8</v>
      </c>
      <c r="X22" s="17">
        <v>9</v>
      </c>
      <c r="Y22" s="17">
        <v>10</v>
      </c>
      <c r="Z22" s="17">
        <v>11</v>
      </c>
      <c r="AA22" s="17">
        <v>12</v>
      </c>
      <c r="AB22" s="17">
        <v>13</v>
      </c>
      <c r="AC22" s="16">
        <v>14</v>
      </c>
      <c r="AD22" s="16">
        <v>15</v>
      </c>
      <c r="AE22" s="16">
        <v>16</v>
      </c>
      <c r="AF22" s="16">
        <v>17</v>
      </c>
      <c r="AG22" s="16">
        <v>18</v>
      </c>
      <c r="AH22" s="16">
        <v>19</v>
      </c>
      <c r="AI22" s="16">
        <v>20</v>
      </c>
      <c r="AJ22" s="16">
        <v>21</v>
      </c>
      <c r="AK22" s="16">
        <v>22</v>
      </c>
      <c r="AL22" s="16">
        <v>23</v>
      </c>
      <c r="AM22" s="16">
        <v>24</v>
      </c>
      <c r="AN22" s="16">
        <v>25</v>
      </c>
      <c r="BC22" t="s">
        <v>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21"/>
  <sheetViews>
    <sheetView showGridLines="0" tabSelected="1" zoomScale="80" zoomScaleNormal="80" workbookViewId="0">
      <selection activeCell="BN4" sqref="D4:BN4"/>
    </sheetView>
  </sheetViews>
  <sheetFormatPr defaultRowHeight="15" x14ac:dyDescent="0.25"/>
  <cols>
    <col min="1" max="123" width="3.7109375" style="15" customWidth="1"/>
    <col min="124" max="136" width="9.140625" style="15"/>
  </cols>
  <sheetData>
    <row r="3" spans="2:66" ht="15.75" thickBot="1" x14ac:dyDescent="0.3"/>
    <row r="4" spans="2:66" ht="15.75" thickBot="1" x14ac:dyDescent="0.3">
      <c r="B4" s="21" t="s">
        <v>9</v>
      </c>
      <c r="D4" s="23">
        <v>0</v>
      </c>
      <c r="E4" s="23">
        <v>1</v>
      </c>
      <c r="F4" s="23">
        <v>2</v>
      </c>
      <c r="G4" s="23">
        <v>3</v>
      </c>
      <c r="H4" s="23">
        <v>4</v>
      </c>
      <c r="I4" s="23">
        <v>5</v>
      </c>
      <c r="J4" s="23">
        <v>6</v>
      </c>
      <c r="K4" s="23">
        <v>7</v>
      </c>
      <c r="L4" s="23">
        <v>8</v>
      </c>
      <c r="M4" s="23">
        <v>9</v>
      </c>
      <c r="N4" s="23">
        <v>10</v>
      </c>
      <c r="O4" s="23">
        <v>11</v>
      </c>
      <c r="P4" s="23">
        <v>12</v>
      </c>
      <c r="Q4" s="23">
        <v>13</v>
      </c>
      <c r="R4" s="23">
        <v>14</v>
      </c>
      <c r="S4" s="23">
        <v>15</v>
      </c>
      <c r="T4" s="23">
        <v>16</v>
      </c>
      <c r="U4" s="23">
        <v>17</v>
      </c>
      <c r="V4" s="23">
        <v>18</v>
      </c>
      <c r="W4" s="23">
        <v>19</v>
      </c>
      <c r="X4" s="23">
        <v>20</v>
      </c>
      <c r="Y4" s="23">
        <v>21</v>
      </c>
      <c r="Z4" s="23">
        <v>22</v>
      </c>
      <c r="AA4" s="23">
        <v>23</v>
      </c>
      <c r="AB4" s="23">
        <v>24</v>
      </c>
      <c r="AC4" s="23">
        <v>25</v>
      </c>
      <c r="AD4" s="23">
        <v>26</v>
      </c>
      <c r="AE4" s="23">
        <v>27</v>
      </c>
      <c r="AF4" s="23">
        <v>28</v>
      </c>
      <c r="AG4" s="23">
        <v>29</v>
      </c>
      <c r="AH4" s="23">
        <v>30</v>
      </c>
      <c r="AI4" s="23">
        <v>31</v>
      </c>
      <c r="AJ4" s="23">
        <v>32</v>
      </c>
      <c r="AK4" s="23">
        <v>33</v>
      </c>
      <c r="AL4" s="23">
        <v>34</v>
      </c>
      <c r="AM4" s="23">
        <v>35</v>
      </c>
      <c r="AN4" s="23">
        <v>36</v>
      </c>
      <c r="AO4" s="23">
        <v>37</v>
      </c>
      <c r="AP4" s="23">
        <v>38</v>
      </c>
      <c r="AQ4" s="23">
        <v>39</v>
      </c>
      <c r="AR4" s="23">
        <v>40</v>
      </c>
      <c r="AS4" s="23">
        <v>41</v>
      </c>
      <c r="AT4" s="23">
        <v>42</v>
      </c>
      <c r="AU4" s="23">
        <v>43</v>
      </c>
      <c r="AV4" s="23">
        <v>44</v>
      </c>
      <c r="AW4" s="23">
        <v>45</v>
      </c>
      <c r="AX4" s="23">
        <v>46</v>
      </c>
      <c r="AY4" s="23">
        <v>47</v>
      </c>
      <c r="AZ4" s="23">
        <v>48</v>
      </c>
      <c r="BA4" s="23">
        <v>49</v>
      </c>
      <c r="BB4" s="23">
        <v>50</v>
      </c>
      <c r="BC4" s="23">
        <v>51</v>
      </c>
      <c r="BD4" s="23">
        <v>52</v>
      </c>
      <c r="BE4" s="23">
        <v>53</v>
      </c>
      <c r="BF4" s="23">
        <v>54</v>
      </c>
      <c r="BG4" s="23">
        <v>55</v>
      </c>
      <c r="BH4" s="23">
        <v>56</v>
      </c>
      <c r="BI4" s="23">
        <v>57</v>
      </c>
      <c r="BJ4" s="23">
        <v>58</v>
      </c>
      <c r="BK4" s="23">
        <v>59</v>
      </c>
      <c r="BL4" s="23">
        <v>60</v>
      </c>
      <c r="BM4" s="23">
        <v>61</v>
      </c>
      <c r="BN4" s="26">
        <v>62</v>
      </c>
    </row>
    <row r="5" spans="2:66" ht="6.75" customHeight="1" x14ac:dyDescent="0.25">
      <c r="B5" s="22"/>
    </row>
    <row r="6" spans="2:66" x14ac:dyDescent="0.25">
      <c r="B6" s="21" t="s">
        <v>8</v>
      </c>
      <c r="D6" s="20">
        <v>0</v>
      </c>
      <c r="E6" s="20">
        <v>1</v>
      </c>
      <c r="F6" s="20">
        <v>2</v>
      </c>
      <c r="G6" s="20">
        <v>3</v>
      </c>
      <c r="H6" s="20">
        <v>4</v>
      </c>
      <c r="I6" s="20">
        <v>5</v>
      </c>
      <c r="J6" s="20">
        <v>6</v>
      </c>
      <c r="K6" s="20">
        <v>7</v>
      </c>
      <c r="L6" s="20">
        <v>8</v>
      </c>
      <c r="M6" s="20">
        <v>9</v>
      </c>
      <c r="N6" s="20">
        <v>10</v>
      </c>
      <c r="O6" s="20">
        <v>11</v>
      </c>
      <c r="P6" s="20">
        <v>12</v>
      </c>
      <c r="Q6" s="20">
        <v>13</v>
      </c>
      <c r="R6" s="20">
        <v>14</v>
      </c>
      <c r="S6" s="20">
        <v>15</v>
      </c>
      <c r="T6" s="20">
        <v>16</v>
      </c>
      <c r="U6" s="20">
        <v>17</v>
      </c>
      <c r="V6" s="20">
        <v>18</v>
      </c>
      <c r="W6" s="20">
        <v>19</v>
      </c>
      <c r="X6" s="20">
        <v>20</v>
      </c>
      <c r="Y6" s="20">
        <v>21</v>
      </c>
      <c r="Z6" s="20">
        <v>22</v>
      </c>
      <c r="AA6" s="20">
        <v>23</v>
      </c>
      <c r="AB6" s="20">
        <v>24</v>
      </c>
      <c r="AC6" s="20">
        <v>25</v>
      </c>
      <c r="AD6" s="20">
        <v>26</v>
      </c>
      <c r="AE6" s="20">
        <v>27</v>
      </c>
      <c r="AF6" s="20">
        <v>28</v>
      </c>
      <c r="AG6" s="20">
        <v>29</v>
      </c>
      <c r="AH6" s="20">
        <v>30</v>
      </c>
      <c r="AI6" s="20">
        <v>31</v>
      </c>
      <c r="AJ6" s="20">
        <v>32</v>
      </c>
      <c r="AK6" s="20">
        <v>33</v>
      </c>
      <c r="AL6" s="20">
        <v>34</v>
      </c>
      <c r="AM6" s="20">
        <v>35</v>
      </c>
      <c r="AN6" s="20">
        <v>36</v>
      </c>
      <c r="AO6" s="20">
        <v>37</v>
      </c>
      <c r="AP6" s="20">
        <v>38</v>
      </c>
      <c r="AQ6" s="20">
        <v>39</v>
      </c>
      <c r="AR6" s="20">
        <v>40</v>
      </c>
      <c r="AS6" s="20">
        <v>41</v>
      </c>
      <c r="AT6" s="20">
        <v>42</v>
      </c>
      <c r="AU6" s="20">
        <v>43</v>
      </c>
      <c r="AV6" s="20">
        <v>44</v>
      </c>
      <c r="AW6" s="20">
        <v>45</v>
      </c>
      <c r="AX6" s="20">
        <v>46</v>
      </c>
      <c r="AY6" s="20">
        <v>47</v>
      </c>
      <c r="AZ6" s="20">
        <v>48</v>
      </c>
      <c r="BA6" s="20">
        <v>49</v>
      </c>
      <c r="BB6" s="20">
        <v>50</v>
      </c>
      <c r="BC6" s="20">
        <v>51</v>
      </c>
      <c r="BD6" s="20">
        <v>52</v>
      </c>
      <c r="BE6" s="20">
        <v>53</v>
      </c>
      <c r="BF6" s="20">
        <v>54</v>
      </c>
      <c r="BG6" s="20">
        <v>55</v>
      </c>
      <c r="BH6" s="20">
        <v>56</v>
      </c>
      <c r="BI6" s="20">
        <v>57</v>
      </c>
      <c r="BJ6" s="20">
        <v>58</v>
      </c>
      <c r="BK6" s="20">
        <v>59</v>
      </c>
      <c r="BL6" s="20">
        <v>60</v>
      </c>
      <c r="BM6" s="20">
        <v>61</v>
      </c>
      <c r="BN6" s="20">
        <v>62</v>
      </c>
    </row>
    <row r="7" spans="2:66" x14ac:dyDescent="0.25">
      <c r="B7" s="21"/>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row>
    <row r="8" spans="2:66" x14ac:dyDescent="0.25">
      <c r="B8" s="21" t="s">
        <v>10</v>
      </c>
      <c r="H8" s="27">
        <v>1</v>
      </c>
    </row>
    <row r="9" spans="2:66" ht="15.75" thickBot="1" x14ac:dyDescent="0.3">
      <c r="B9" s="21" t="s">
        <v>11</v>
      </c>
      <c r="H9" s="27">
        <v>0</v>
      </c>
      <c r="AI9" s="25">
        <v>0</v>
      </c>
    </row>
    <row r="10" spans="2:66" ht="15.75" thickBot="1" x14ac:dyDescent="0.3">
      <c r="AI10" s="24">
        <f>hs_0</f>
        <v>0</v>
      </c>
    </row>
    <row r="11" spans="2:66" ht="15.75" thickBot="1" x14ac:dyDescent="0.3">
      <c r="B11" s="21" t="s">
        <v>2</v>
      </c>
      <c r="G11" s="28">
        <v>320</v>
      </c>
      <c r="H11" s="28"/>
      <c r="S11" s="25">
        <v>1</v>
      </c>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5">
        <v>2</v>
      </c>
    </row>
    <row r="12" spans="2:66" ht="15.75" thickBot="1" x14ac:dyDescent="0.3">
      <c r="S12" s="24">
        <f>hs_1</f>
        <v>1</v>
      </c>
      <c r="AY12" s="24">
        <f>hs_2</f>
        <v>2</v>
      </c>
    </row>
    <row r="13" spans="2:66" ht="15.75" thickBot="1" x14ac:dyDescent="0.3">
      <c r="K13" s="25">
        <v>3</v>
      </c>
      <c r="L13" s="20"/>
      <c r="M13" s="20"/>
      <c r="N13" s="20"/>
      <c r="O13" s="20"/>
      <c r="P13" s="20"/>
      <c r="Q13" s="20"/>
      <c r="R13" s="20"/>
      <c r="S13" s="20"/>
      <c r="T13" s="20"/>
      <c r="U13" s="20"/>
      <c r="V13" s="20"/>
      <c r="W13" s="20"/>
      <c r="X13" s="20"/>
      <c r="Y13" s="20"/>
      <c r="Z13" s="20"/>
      <c r="AA13" s="25">
        <v>4</v>
      </c>
      <c r="AB13" s="20"/>
      <c r="AC13" s="20"/>
      <c r="AD13" s="20"/>
      <c r="AE13" s="20"/>
      <c r="AF13" s="20"/>
      <c r="AG13" s="20"/>
      <c r="AH13" s="20"/>
      <c r="AI13" s="20"/>
      <c r="AJ13" s="20"/>
      <c r="AK13" s="20"/>
      <c r="AL13" s="20"/>
      <c r="AM13" s="20"/>
      <c r="AN13" s="20"/>
      <c r="AO13" s="20"/>
      <c r="AP13" s="20"/>
      <c r="AQ13" s="25">
        <v>5</v>
      </c>
      <c r="AR13" s="20"/>
      <c r="AS13" s="20"/>
      <c r="AT13" s="20"/>
      <c r="AU13" s="20"/>
      <c r="AV13" s="20"/>
      <c r="AW13" s="20"/>
      <c r="AX13" s="20"/>
      <c r="AY13" s="20"/>
      <c r="AZ13" s="20"/>
      <c r="BA13" s="20"/>
      <c r="BB13" s="20"/>
      <c r="BC13" s="20"/>
      <c r="BD13" s="20"/>
      <c r="BE13" s="20"/>
      <c r="BF13" s="20"/>
      <c r="BG13" s="25">
        <v>6</v>
      </c>
    </row>
    <row r="14" spans="2:66" ht="15.75" thickBot="1" x14ac:dyDescent="0.3">
      <c r="K14" s="24">
        <f>hs_3</f>
        <v>3</v>
      </c>
      <c r="AA14" s="24">
        <f>hs_4</f>
        <v>4</v>
      </c>
      <c r="AQ14" s="24">
        <f>hs_5</f>
        <v>5</v>
      </c>
      <c r="BG14" s="24">
        <f>hs_6</f>
        <v>6</v>
      </c>
    </row>
    <row r="15" spans="2:66" ht="15.75" thickBot="1" x14ac:dyDescent="0.3">
      <c r="G15" s="25">
        <v>7</v>
      </c>
      <c r="H15" s="20"/>
      <c r="I15" s="20"/>
      <c r="J15" s="20"/>
      <c r="K15" s="20"/>
      <c r="L15" s="20"/>
      <c r="M15" s="20"/>
      <c r="N15" s="20"/>
      <c r="O15" s="25">
        <v>8</v>
      </c>
      <c r="P15" s="20"/>
      <c r="Q15" s="20"/>
      <c r="R15" s="20"/>
      <c r="S15" s="20"/>
      <c r="T15" s="20"/>
      <c r="U15" s="20"/>
      <c r="V15" s="20"/>
      <c r="W15" s="25">
        <v>9</v>
      </c>
      <c r="X15" s="20"/>
      <c r="Y15" s="20"/>
      <c r="Z15" s="20"/>
      <c r="AA15" s="20"/>
      <c r="AB15" s="20"/>
      <c r="AC15" s="20"/>
      <c r="AD15" s="20"/>
      <c r="AE15" s="25">
        <v>10</v>
      </c>
      <c r="AF15" s="20"/>
      <c r="AG15" s="20"/>
      <c r="AH15" s="20"/>
      <c r="AI15" s="20"/>
      <c r="AJ15" s="20"/>
      <c r="AK15" s="20"/>
      <c r="AL15" s="20"/>
      <c r="AM15" s="25">
        <v>11</v>
      </c>
      <c r="AN15" s="20"/>
      <c r="AO15" s="20"/>
      <c r="AP15" s="20"/>
      <c r="AQ15" s="20"/>
      <c r="AR15" s="20"/>
      <c r="AS15" s="20"/>
      <c r="AT15" s="20"/>
      <c r="AU15" s="25">
        <v>12</v>
      </c>
      <c r="AV15" s="20"/>
      <c r="AW15" s="20"/>
      <c r="AX15" s="20"/>
      <c r="AY15" s="20"/>
      <c r="AZ15" s="20"/>
      <c r="BA15" s="20"/>
      <c r="BB15" s="20"/>
      <c r="BC15" s="25">
        <v>13</v>
      </c>
      <c r="BD15" s="20"/>
      <c r="BE15" s="20"/>
      <c r="BF15" s="20"/>
      <c r="BG15" s="20"/>
      <c r="BH15" s="20"/>
      <c r="BI15" s="20"/>
      <c r="BJ15" s="20"/>
      <c r="BK15" s="25">
        <v>14</v>
      </c>
    </row>
    <row r="16" spans="2:66" ht="15.75" thickBot="1" x14ac:dyDescent="0.3">
      <c r="G16" s="24">
        <f>hs_7</f>
        <v>7</v>
      </c>
      <c r="O16" s="24">
        <f>hs_8</f>
        <v>8</v>
      </c>
      <c r="W16" s="24">
        <f>hs_9</f>
        <v>9</v>
      </c>
      <c r="AE16" s="24">
        <f>hs_10</f>
        <v>10</v>
      </c>
      <c r="AM16" s="24">
        <f>hs_11</f>
        <v>11</v>
      </c>
      <c r="AU16" s="24">
        <f>hs_12</f>
        <v>12</v>
      </c>
      <c r="BC16" s="24">
        <f>hs_13</f>
        <v>13</v>
      </c>
      <c r="BK16" s="24">
        <f>hs_14</f>
        <v>14</v>
      </c>
    </row>
    <row r="17" spans="4:66" ht="15.75" thickBot="1" x14ac:dyDescent="0.3">
      <c r="E17" s="25">
        <v>15</v>
      </c>
      <c r="F17" s="20"/>
      <c r="G17" s="20"/>
      <c r="H17" s="20"/>
      <c r="I17" s="25">
        <v>16</v>
      </c>
      <c r="J17" s="20"/>
      <c r="K17" s="20"/>
      <c r="L17" s="20"/>
      <c r="M17" s="25">
        <v>17</v>
      </c>
      <c r="N17" s="20"/>
      <c r="O17" s="20"/>
      <c r="P17" s="20"/>
      <c r="Q17" s="25">
        <v>18</v>
      </c>
      <c r="R17" s="20"/>
      <c r="S17" s="20"/>
      <c r="T17" s="20"/>
      <c r="U17" s="25">
        <v>19</v>
      </c>
      <c r="V17" s="20"/>
      <c r="W17" s="20"/>
      <c r="X17" s="20"/>
      <c r="Y17" s="25">
        <v>20</v>
      </c>
      <c r="Z17" s="20"/>
      <c r="AA17" s="20"/>
      <c r="AB17" s="20"/>
      <c r="AC17" s="25">
        <v>21</v>
      </c>
      <c r="AD17" s="20"/>
      <c r="AE17" s="20"/>
      <c r="AF17" s="20"/>
      <c r="AG17" s="25">
        <v>22</v>
      </c>
      <c r="AH17" s="20"/>
      <c r="AI17" s="20"/>
      <c r="AJ17" s="20"/>
      <c r="AK17" s="25">
        <v>23</v>
      </c>
      <c r="AL17" s="20"/>
      <c r="AM17" s="20"/>
      <c r="AN17" s="20"/>
      <c r="AO17" s="25">
        <v>24</v>
      </c>
      <c r="AP17" s="20"/>
      <c r="AQ17" s="20"/>
      <c r="AR17" s="20"/>
      <c r="AS17" s="25">
        <v>25</v>
      </c>
      <c r="AT17" s="20"/>
      <c r="AU17" s="20"/>
      <c r="AV17" s="20"/>
      <c r="AW17" s="25">
        <v>26</v>
      </c>
      <c r="AX17" s="20"/>
      <c r="AY17" s="20"/>
      <c r="AZ17" s="20"/>
      <c r="BA17" s="25">
        <v>27</v>
      </c>
      <c r="BB17" s="20"/>
      <c r="BC17" s="20"/>
      <c r="BD17" s="20"/>
      <c r="BE17" s="25">
        <v>28</v>
      </c>
      <c r="BF17" s="20"/>
      <c r="BG17" s="20"/>
      <c r="BH17" s="20"/>
      <c r="BI17" s="25">
        <v>29</v>
      </c>
      <c r="BJ17" s="20"/>
      <c r="BK17" s="20"/>
      <c r="BL17" s="20"/>
      <c r="BM17" s="25">
        <v>30</v>
      </c>
    </row>
    <row r="18" spans="4:66" ht="15.75" thickBot="1" x14ac:dyDescent="0.3">
      <c r="E18" s="24">
        <f>hs_15</f>
        <v>15</v>
      </c>
      <c r="I18" s="24">
        <f>hs_16</f>
        <v>16</v>
      </c>
      <c r="M18" s="24">
        <f>hs_17</f>
        <v>17</v>
      </c>
      <c r="Q18" s="24">
        <f>hs_18</f>
        <v>18</v>
      </c>
      <c r="U18" s="24">
        <f>hs_19</f>
        <v>19</v>
      </c>
      <c r="Y18" s="24">
        <f>hs_20</f>
        <v>20</v>
      </c>
      <c r="AC18" s="24">
        <f>hs_21</f>
        <v>21</v>
      </c>
      <c r="AG18" s="24">
        <f>hs_22</f>
        <v>22</v>
      </c>
      <c r="AK18" s="24">
        <f>hs_23</f>
        <v>23</v>
      </c>
      <c r="AO18" s="24">
        <f>hs_24</f>
        <v>24</v>
      </c>
      <c r="AS18" s="24">
        <f>hs_25</f>
        <v>25</v>
      </c>
      <c r="AW18" s="24">
        <f>hs_26</f>
        <v>26</v>
      </c>
      <c r="BA18" s="24">
        <f>hs_27</f>
        <v>27</v>
      </c>
      <c r="BE18" s="24">
        <f>hs_28</f>
        <v>28</v>
      </c>
      <c r="BI18" s="24">
        <f>hs_29</f>
        <v>29</v>
      </c>
      <c r="BM18" s="24">
        <f>hs_30</f>
        <v>30</v>
      </c>
    </row>
    <row r="19" spans="4:66" ht="15.75" thickBot="1" x14ac:dyDescent="0.3"/>
    <row r="20" spans="4:66" ht="15.75" thickBot="1" x14ac:dyDescent="0.3">
      <c r="D20" s="24">
        <f>hs_31</f>
        <v>31</v>
      </c>
      <c r="F20" s="24">
        <f>hs_32</f>
        <v>32</v>
      </c>
      <c r="H20" s="24">
        <f>hs_33</f>
        <v>33</v>
      </c>
      <c r="J20" s="24">
        <f>hs_34</f>
        <v>34</v>
      </c>
      <c r="L20" s="24">
        <f>hs_35</f>
        <v>35</v>
      </c>
      <c r="N20" s="24">
        <f>hs_36</f>
        <v>36</v>
      </c>
      <c r="P20" s="24">
        <f>hs_37</f>
        <v>37</v>
      </c>
      <c r="R20" s="24">
        <f>hs_38</f>
        <v>38</v>
      </c>
      <c r="T20" s="24">
        <f>hs_39</f>
        <v>39</v>
      </c>
      <c r="V20" s="24">
        <f>hs_40</f>
        <v>40</v>
      </c>
      <c r="X20" s="24">
        <f>hs_41</f>
        <v>41</v>
      </c>
      <c r="Z20" s="24">
        <f>hs_42</f>
        <v>42</v>
      </c>
      <c r="AB20" s="24">
        <f>hs_43</f>
        <v>43</v>
      </c>
      <c r="AD20" s="24">
        <f>hs_44</f>
        <v>44</v>
      </c>
      <c r="AF20" s="24">
        <f>hs_45</f>
        <v>45</v>
      </c>
      <c r="AH20" s="24">
        <f>hs_46</f>
        <v>46</v>
      </c>
      <c r="AJ20" s="24">
        <f>hs_47</f>
        <v>47</v>
      </c>
      <c r="AL20" s="24">
        <f>hs_48</f>
        <v>48</v>
      </c>
      <c r="AN20" s="24">
        <f>hs_49</f>
        <v>49</v>
      </c>
      <c r="AP20" s="24">
        <f>hs_50</f>
        <v>50</v>
      </c>
      <c r="AR20" s="24">
        <f>hs_51</f>
        <v>51</v>
      </c>
      <c r="AT20" s="24">
        <f>hs_52</f>
        <v>52</v>
      </c>
      <c r="AV20" s="24">
        <f>hs_53</f>
        <v>53</v>
      </c>
      <c r="AX20" s="24">
        <f>hs_54</f>
        <v>54</v>
      </c>
      <c r="AZ20" s="24">
        <f>hs_55</f>
        <v>55</v>
      </c>
      <c r="BB20" s="24">
        <f>hs_56</f>
        <v>56</v>
      </c>
      <c r="BD20" s="24">
        <f>hs_57</f>
        <v>57</v>
      </c>
      <c r="BF20" s="24">
        <f>hs_58</f>
        <v>58</v>
      </c>
      <c r="BH20" s="24">
        <f>hs_59</f>
        <v>59</v>
      </c>
      <c r="BJ20" s="24">
        <f>hs_60</f>
        <v>60</v>
      </c>
      <c r="BL20" s="24">
        <f>hs_61</f>
        <v>61</v>
      </c>
      <c r="BN20" s="24">
        <f>hs_63</f>
        <v>62</v>
      </c>
    </row>
    <row r="21" spans="4:66" x14ac:dyDescent="0.25">
      <c r="D21" s="25">
        <v>31</v>
      </c>
      <c r="E21" s="20"/>
      <c r="F21" s="25">
        <v>32</v>
      </c>
      <c r="G21" s="20"/>
      <c r="H21" s="25">
        <v>33</v>
      </c>
      <c r="I21" s="20"/>
      <c r="J21" s="25">
        <v>34</v>
      </c>
      <c r="K21" s="20"/>
      <c r="L21" s="25">
        <v>35</v>
      </c>
      <c r="M21" s="20"/>
      <c r="N21" s="25">
        <v>36</v>
      </c>
      <c r="O21" s="20"/>
      <c r="P21" s="25">
        <v>37</v>
      </c>
      <c r="Q21" s="20"/>
      <c r="R21" s="25">
        <v>38</v>
      </c>
      <c r="S21" s="20"/>
      <c r="T21" s="25">
        <v>39</v>
      </c>
      <c r="U21" s="20"/>
      <c r="V21" s="25">
        <v>40</v>
      </c>
      <c r="W21" s="20"/>
      <c r="X21" s="25">
        <v>41</v>
      </c>
      <c r="Y21" s="20"/>
      <c r="Z21" s="25">
        <v>42</v>
      </c>
      <c r="AA21" s="20"/>
      <c r="AB21" s="25">
        <v>43</v>
      </c>
      <c r="AC21" s="20"/>
      <c r="AD21" s="25">
        <v>44</v>
      </c>
      <c r="AE21" s="20"/>
      <c r="AF21" s="25">
        <v>45</v>
      </c>
      <c r="AG21" s="20"/>
      <c r="AH21" s="25">
        <v>46</v>
      </c>
      <c r="AI21" s="20"/>
      <c r="AJ21" s="25">
        <v>47</v>
      </c>
      <c r="AK21" s="20"/>
      <c r="AL21" s="25">
        <v>48</v>
      </c>
      <c r="AM21" s="20"/>
      <c r="AN21" s="25">
        <v>49</v>
      </c>
      <c r="AO21" s="20"/>
      <c r="AP21" s="25">
        <v>50</v>
      </c>
      <c r="AQ21" s="20"/>
      <c r="AR21" s="25">
        <v>51</v>
      </c>
      <c r="AS21" s="20"/>
      <c r="AT21" s="25">
        <v>52</v>
      </c>
      <c r="AU21" s="20"/>
      <c r="AV21" s="25">
        <v>53</v>
      </c>
      <c r="AW21" s="20"/>
      <c r="AX21" s="25">
        <v>54</v>
      </c>
      <c r="AY21" s="20"/>
      <c r="AZ21" s="25">
        <v>55</v>
      </c>
      <c r="BA21" s="20"/>
      <c r="BB21" s="25">
        <v>56</v>
      </c>
      <c r="BC21" s="20"/>
      <c r="BD21" s="25">
        <v>57</v>
      </c>
      <c r="BE21" s="20"/>
      <c r="BF21" s="25">
        <v>58</v>
      </c>
      <c r="BG21" s="20"/>
      <c r="BH21" s="25">
        <v>59</v>
      </c>
      <c r="BI21" s="20"/>
      <c r="BJ21" s="25">
        <v>60</v>
      </c>
      <c r="BK21" s="20"/>
      <c r="BL21" s="25">
        <v>61</v>
      </c>
      <c r="BM21" s="20"/>
      <c r="BN21" s="25">
        <v>62</v>
      </c>
    </row>
  </sheetData>
  <conditionalFormatting sqref="AI10 S12 AY12 BG14 AQ14 AA14 K14 G16 O16 W16 AE16 AM16 AU16 BC16 BK16 E18 I18 M18 Q18 U18 Y18 AC18 AG18 AK18 AO18 AS18 AW18 BA18 BE18 BI18 BM18 D20 F20 H20 J20 L20 N20 P20 R20 T20 V20 X20 Z20 AB20 AD20 AF20 AH20 AJ20 AL20 AN20 AP20 AR20 AT20 AV20 AX20 AZ20 BB20 BD20 BF20 BH20 BJ20 BL20 BN20">
    <cfRule type="cellIs" dxfId="3" priority="3" operator="equal">
      <formula>$H$9</formula>
    </cfRule>
    <cfRule type="cellIs" dxfId="2" priority="4" operator="equal">
      <formula>$H$8</formula>
    </cfRule>
  </conditionalFormatting>
  <conditionalFormatting sqref="D4:BN4">
    <cfRule type="cellIs" dxfId="1" priority="1" operator="equal">
      <formula>$H$9</formula>
    </cfRule>
    <cfRule type="cellIs" dxfId="0" priority="2" operator="equal">
      <formula>$H$8</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184</vt:i4>
      </vt:variant>
    </vt:vector>
  </HeadingPairs>
  <TitlesOfParts>
    <vt:vector size="187" baseType="lpstr">
      <vt:lpstr>Insertion_Sort</vt:lpstr>
      <vt:lpstr>Merge Sort</vt:lpstr>
      <vt:lpstr>Heap Sort</vt:lpstr>
      <vt:lpstr>cur_element</vt:lpstr>
      <vt:lpstr>cur_order</vt:lpstr>
      <vt:lpstr>data_set</vt:lpstr>
      <vt:lpstr>end</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hs_av</vt:lpstr>
      <vt:lpstr>hs_cfs</vt:lpstr>
      <vt:lpstr>hs_cnt</vt:lpstr>
      <vt:lpstr>id_0</vt:lpstr>
      <vt:lpstr>id_1</vt:lpstr>
      <vt:lpstr>id_10</vt:lpstr>
      <vt:lpstr>id_11</vt:lpstr>
      <vt:lpstr>id_12</vt:lpstr>
      <vt:lpstr>id_13</vt:lpstr>
      <vt:lpstr>id_14</vt:lpstr>
      <vt:lpstr>id_15</vt:lpstr>
      <vt:lpstr>id_16</vt:lpstr>
      <vt:lpstr>id_17</vt:lpstr>
      <vt:lpstr>id_18</vt:lpstr>
      <vt:lpstr>id_19</vt:lpstr>
      <vt:lpstr>id_2</vt:lpstr>
      <vt:lpstr>id_20</vt:lpstr>
      <vt:lpstr>id_21</vt:lpstr>
      <vt:lpstr>id_22</vt:lpstr>
      <vt:lpstr>id_23</vt:lpstr>
      <vt:lpstr>id_24</vt:lpstr>
      <vt:lpstr>id_3</vt:lpstr>
      <vt:lpstr>id_4</vt:lpstr>
      <vt:lpstr>id_5</vt:lpstr>
      <vt:lpstr>id_6</vt:lpstr>
      <vt:lpstr>id_7</vt:lpstr>
      <vt:lpstr>id_8</vt:lpstr>
      <vt:lpstr>id_9</vt:lpstr>
      <vt:lpstr>m1_a</vt:lpstr>
      <vt:lpstr>m1_b</vt:lpstr>
      <vt:lpstr>m1_c</vt:lpstr>
      <vt:lpstr>m1_d</vt:lpstr>
      <vt:lpstr>m1_e</vt:lpstr>
      <vt:lpstr>m1_f</vt:lpstr>
      <vt:lpstr>m1_g</vt:lpstr>
      <vt:lpstr>m1_h</vt:lpstr>
      <vt:lpstr>m1_i</vt:lpstr>
      <vt:lpstr>m1_j</vt:lpstr>
      <vt:lpstr>m1_k</vt:lpstr>
      <vt:lpstr>m1_l</vt:lpstr>
      <vt:lpstr>m1_m</vt:lpstr>
      <vt:lpstr>m1_n</vt:lpstr>
      <vt:lpstr>m1_o</vt:lpstr>
      <vt:lpstr>m1_p</vt:lpstr>
      <vt:lpstr>m2_a</vt:lpstr>
      <vt:lpstr>m2_b</vt:lpstr>
      <vt:lpstr>m2_c</vt:lpstr>
      <vt:lpstr>m2_d</vt:lpstr>
      <vt:lpstr>m2_e</vt:lpstr>
      <vt:lpstr>m2_f</vt:lpstr>
      <vt:lpstr>m2_g</vt:lpstr>
      <vt:lpstr>m2_h</vt:lpstr>
      <vt:lpstr>m3_a</vt:lpstr>
      <vt:lpstr>m3_b</vt:lpstr>
      <vt:lpstr>m3_c</vt:lpstr>
      <vt:lpstr>m3_d</vt:lpstr>
      <vt:lpstr>m4_a</vt:lpstr>
      <vt:lpstr>m4_b</vt:lpstr>
      <vt:lpstr>opp_cnt</vt:lpstr>
      <vt:lpstr>s1_a</vt:lpstr>
      <vt:lpstr>s1_c</vt:lpstr>
      <vt:lpstr>s1_e</vt:lpstr>
      <vt:lpstr>s1_f</vt:lpstr>
      <vt:lpstr>s1_g</vt:lpstr>
      <vt:lpstr>s1_i</vt:lpstr>
      <vt:lpstr>s1_k</vt:lpstr>
      <vt:lpstr>s1_m</vt:lpstr>
      <vt:lpstr>s1_o</vt:lpstr>
      <vt:lpstr>s2_a</vt:lpstr>
      <vt:lpstr>s2_b</vt:lpstr>
      <vt:lpstr>s2_c</vt:lpstr>
      <vt:lpstr>s2_d</vt:lpstr>
      <vt:lpstr>s2_e</vt:lpstr>
      <vt:lpstr>s2_f</vt:lpstr>
      <vt:lpstr>s2_g</vt:lpstr>
      <vt:lpstr>s2_h</vt:lpstr>
      <vt:lpstr>s3_a</vt:lpstr>
      <vt:lpstr>s3_b</vt:lpstr>
      <vt:lpstr>s3_c</vt:lpstr>
      <vt:lpstr>s3_d</vt:lpstr>
      <vt:lpstr>s4_a</vt:lpstr>
      <vt:lpstr>s4_b</vt:lpstr>
      <vt:lpstr>sort</vt:lpstr>
      <vt:lpstr>split1</vt:lpstr>
      <vt:lpstr>split10</vt:lpstr>
      <vt:lpstr>split11</vt:lpstr>
      <vt:lpstr>split12</vt:lpstr>
      <vt:lpstr>split13</vt:lpstr>
      <vt:lpstr>split14</vt:lpstr>
      <vt:lpstr>split15</vt:lpstr>
      <vt:lpstr>split16</vt:lpstr>
      <vt:lpstr>split17</vt:lpstr>
      <vt:lpstr>split18</vt:lpstr>
      <vt:lpstr>split19</vt:lpstr>
      <vt:lpstr>split2</vt:lpstr>
      <vt:lpstr>split20</vt:lpstr>
      <vt:lpstr>split21</vt:lpstr>
      <vt:lpstr>split22</vt:lpstr>
      <vt:lpstr>split23</vt:lpstr>
      <vt:lpstr>split24</vt:lpstr>
      <vt:lpstr>split25</vt:lpstr>
      <vt:lpstr>split26</vt:lpstr>
      <vt:lpstr>split27</vt:lpstr>
      <vt:lpstr>split28</vt:lpstr>
      <vt:lpstr>split29</vt:lpstr>
      <vt:lpstr>split3</vt:lpstr>
      <vt:lpstr>split30</vt:lpstr>
      <vt:lpstr>split4</vt:lpstr>
      <vt:lpstr>split5</vt:lpstr>
      <vt:lpstr>split6</vt:lpstr>
      <vt:lpstr>split7</vt:lpstr>
      <vt:lpstr>split8</vt:lpstr>
      <vt:lpstr>split9</vt:lpstr>
      <vt:lpstr>start</vt:lpstr>
      <vt:lpstr>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2020-08-14T02:56:47Z</dcterms:modified>
</cp:coreProperties>
</file>